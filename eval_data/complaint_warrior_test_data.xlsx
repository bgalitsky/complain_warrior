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4bad3970054c4a" /></Relationships>
</file>

<file path=xl/workbook.xml><?xml version="1.0" encoding="utf-8"?>
<x:workbook xmlns:x="http://schemas.openxmlformats.org/spreadsheetml/2006/main">
  <x:sheets>
    <x:sheet xmlns:r="http://schemas.openxmlformats.org/officeDocument/2006/relationships" name="Read Me" sheetId="1" r:id="Rbde9eada13c84447"/>
    <x:sheet xmlns:r="http://schemas.openxmlformats.org/officeDocument/2006/relationships" name="Import Data" sheetId="2" r:id="R61e20e997b64461a"/>
    <x:sheet xmlns:r="http://schemas.openxmlformats.org/officeDocument/2006/relationships" name="Business Contacts" sheetId="3" r:id="R3953e1baeabc4b6e"/>
    <x:sheet xmlns:r="http://schemas.openxmlformats.org/officeDocument/2006/relationships" name="Customer Test Data" sheetId="4" r:id="R09466f05cd70475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yyyy-mm-dd"/>
    <x:numFmt numFmtId="202" formatCode="0"/>
    <x:numFmt numFmtId="203" formatCode="0%"/>
  </x:numFmts>
  <x:fonts count="12">
    <x:font>
      <x:sz val="11"/>
      <x:name val="Carlito"/>
    </x:font>
    <x:font>
      <x:b/>
      <x:sz val="16"/>
      <x:color rgb="FFFFFFFF"/>
      <x:name val="Carlito"/>
    </x:font>
    <x:font>
      <x:b/>
      <x:sz val="10"/>
      <x:color rgb="FF7C2D12"/>
      <x:name val="Carlito"/>
    </x:font>
    <x:font>
      <x:b/>
      <x:sz val="11"/>
      <x:color rgb="FF17324D"/>
      <x:name val="Carlito"/>
    </x:font>
    <x:font>
      <x:b/>
      <x:sz val="10"/>
      <x:color rgb="FFFFFFFF"/>
      <x:name val="Carlito"/>
    </x:font>
    <x:font>
      <x:b/>
      <x:sz val="16"/>
      <x:color rgb="FFFFFFFF"/>
      <x:name val="Aptos"/>
    </x:font>
    <x:font>
      <x:b/>
      <x:sz val="10"/>
      <x:color rgb="FF7C2D12"/>
      <x:name val="Aptos"/>
    </x:font>
    <x:font>
      <x:sz val="11"/>
      <x:name val="Aptos"/>
    </x:font>
    <x:font>
      <x:b/>
      <x:sz val="11"/>
      <x:color rgb="FF17324D"/>
      <x:name val="Aptos"/>
    </x:font>
    <x:font>
      <x:b/>
      <x:sz val="10"/>
      <x:color rgb="FFFFFFFF"/>
      <x:name val="Aptos"/>
    </x:font>
    <x:font>
      <x:b/>
      <x:sz val="11"/>
      <x:color rgb="FF166534"/>
      <x:name val="Carlito"/>
    </x:font>
    <x:font>
      <x:b/>
      <x:sz val="11"/>
      <x:color rgb="FF166534"/>
      <x:name val="Aptos"/>
    </x:font>
  </x:fonts>
  <x:fills count="8">
    <x:fill>
      <x:patternFill patternType="none"/>
    </x:fill>
    <x:fill>
      <x:patternFill patternType="gray125"/>
    </x:fill>
    <x:fill>
      <x:patternFill patternType="solid">
        <x:fgColor rgb="FF17324D"/>
      </x:patternFill>
    </x:fill>
    <x:fill>
      <x:patternFill patternType="solid">
        <x:fgColor rgb="FFFFF4D6"/>
      </x:patternFill>
    </x:fill>
    <x:fill>
      <x:patternFill patternType="solid">
        <x:fgColor rgb="FFEAF2F8"/>
      </x:patternFill>
    </x:fill>
    <x:fill>
      <x:patternFill patternType="solid">
        <x:fgColor rgb="FF0F766E"/>
      </x:patternFill>
    </x:fill>
    <x:fill>
      <x:patternFill patternType="solid">
        <x:fgColor rgb="FFE8F5F2"/>
      </x:patternFill>
    </x:fill>
    <x:fill>
      <x:patternFill patternType="solid">
        <x:fgColor rgb="FFDDF3E4"/>
      </x:patternFill>
    </x:fill>
  </x:fills>
  <x:borders count="3">
    <x:border/>
    <x:border>
      <x:left style="thin">
        <x:color rgb="FFE5E7EB"/>
      </x:left>
      <x:right style="thin">
        <x:color rgb="FFE5E7EB"/>
      </x:right>
      <x:top style="thin">
        <x:color rgb="FFE5E7EB"/>
      </x:top>
      <x:bottom style="thin">
        <x:color rgb="FFE5E7EB"/>
      </x:bottom>
    </x:border>
    <x:border>
      <x:left style="thin">
        <x:color rgb="FFC7D2DA"/>
      </x:left>
      <x:right style="thin">
        <x:color rgb="FFC7D2DA"/>
      </x:right>
      <x:top style="thin">
        <x:color rgb="FFC7D2DA"/>
      </x:top>
      <x:bottom style="thin">
        <x:color rgb="FFC7D2DA"/>
      </x:bottom>
    </x:border>
  </x:borders>
  <x:cellStyleXfs count="1">
    <x:xf numFmtId="0" fontId="0" fillId="0" borderId="0"/>
  </x:cellStyleXfs>
  <x:cellXfs count="5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2" xfId="0" applyNumberFormat="1" applyFont="1" applyFill="1" applyBorder="1" applyAlignment="1">
      <x:alignment wrapText="1"/>
    </x:xf>
    <x:xf numFmtId="0" fontId="4" fillId="5" borderId="2" xfId="0" applyNumberFormat="1" applyFont="1" applyFill="1" applyBorder="1" applyAlignment="1">
      <x:alignment horizontal="center" wrapText="1"/>
    </x:xf>
    <x:xf numFmtId="0" fontId="4" fillId="5" borderId="2" xfId="0" applyNumberFormat="1" applyFont="1" applyFill="1" applyBorder="1" applyAlignment="1">
      <x:alignment horizontal="center" vertical="center" wrapText="1"/>
    </x:xf>
    <x:xf numFmtId="0" fontId="0" fillId="6" borderId="1" xfId="0" applyNumberFormat="1" applyFont="1" applyFill="1" applyBorder="1"/>
    <x:xf numFmtId="202" fontId="0" fillId="0" borderId="1" xfId="0" applyNumberFormat="1" applyFont="1" applyFill="1" applyBorder="1"/>
    <x:xf numFmtId="203" fontId="0" fillId="0" borderId="1" xfId="0" applyNumberFormat="1" applyFont="1" applyFill="1" applyBorder="1"/>
    <x:xf numFmtId="0" fontId="0" fillId="4" borderId="1" xfId="0" applyNumberFormat="1" applyFont="1" applyFill="1" applyBorder="1" applyAlignment="1">
      <x:alignment vertical="top" wrapText="1"/>
    </x:xf>
    <x:xf numFmtId="0" fontId="5" fillId="2" borderId="0" xfId="0" applyNumberFormat="1" applyFont="1" applyFill="1" applyBorder="1" applyAlignment="1">
      <x:alignment horizontal="left" vertical="center"/>
    </x:xf>
    <x:xf numFmtId="0" fontId="6" fillId="3" borderId="0" xfId="0" applyNumberFormat="1" applyFont="1" applyFill="1" applyBorder="1" applyAlignment="1">
      <x:alignment vertical="center" wrapText="1"/>
    </x:xf>
    <x:xf numFmtId="0" fontId="7" fillId="0" borderId="0" xfId="0" applyNumberFormat="1" applyFont="1" applyFill="1" applyBorder="1"/>
    <x:xf numFmtId="0" fontId="8" fillId="4" borderId="1" xfId="0" applyNumberFormat="1" applyFont="1" applyFill="1" applyBorder="1" applyAlignment="1">
      <x:alignment vertical="top" wrapText="1"/>
    </x:xf>
    <x:xf numFmtId="0" fontId="7" fillId="0" borderId="1"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1" fontId="7" fillId="0" borderId="1" xfId="0" applyNumberFormat="1" applyFont="1" applyFill="1" applyBorder="1" applyAlignment="1">
      <x:alignment vertical="top" wrapText="1"/>
    </x:xf>
    <x:xf numFmtId="0" fontId="9" fillId="5" borderId="2" xfId="0" applyNumberFormat="1" applyFont="1" applyFill="1" applyBorder="1" applyAlignment="1">
      <x:alignment horizontal="center" vertical="center" wrapText="1"/>
    </x:xf>
    <x:xf numFmtId="0" fontId="7" fillId="6" borderId="1" xfId="0" applyNumberFormat="1" applyFont="1" applyFill="1" applyBorder="1"/>
    <x:xf numFmtId="202" fontId="7" fillId="0" borderId="1" xfId="0" applyNumberFormat="1" applyFont="1" applyFill="1" applyBorder="1"/>
    <x:xf numFmtId="203" fontId="7" fillId="0" borderId="1" xfId="0" applyNumberFormat="1" applyFont="1" applyFill="1" applyBorder="1"/>
    <x:xf numFmtId="0" fontId="3" fillId="4" borderId="1" xfId="0" applyNumberFormat="1" applyFont="1" applyFill="1" applyBorder="1" applyAlignment="1">
      <x:alignment horizontal="center" vertical="top" wrapText="1"/>
    </x:xf>
    <x:xf numFmtId="0" fontId="3" fillId="4" borderId="1" xfId="0" applyNumberFormat="1" applyFont="1" applyFill="1" applyBorder="1" applyAlignment="1">
      <x:alignment horizontal="center" vertical="center" wrapText="1"/>
    </x:xf>
    <x:xf numFmtId="0" fontId="0" fillId="7" borderId="1" xfId="0" applyNumberFormat="1" applyFont="1" applyFill="1" applyBorder="1" applyAlignment="1">
      <x:alignment vertical="top" wrapText="1"/>
    </x:xf>
    <x:xf numFmtId="0" fontId="10" fillId="7" borderId="1" xfId="0" applyNumberFormat="1" applyFont="1" applyFill="1" applyBorder="1" applyAlignment="1">
      <x:alignment vertical="top" wrapText="1"/>
    </x:xf>
    <x:xf numFmtId="0" fontId="10" fillId="7" borderId="1" xfId="0" applyNumberFormat="1" applyFont="1" applyFill="1" applyBorder="1" applyAlignment="1">
      <x:alignment horizontal="center" vertical="top" wrapText="1"/>
    </x:xf>
    <x:xf numFmtId="0" fontId="10" fillId="7" borderId="1" xfId="0" applyNumberFormat="1" applyFont="1" applyFill="1" applyBorder="1" applyAlignment="1">
      <x:alignment horizontal="center" vertical="center" wrapText="1"/>
    </x:xf>
    <x:xf numFmtId="0" fontId="3" fillId="0"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7" fillId="6" borderId="1" xfId="0" applyNumberFormat="1" applyFont="1" applyFill="1" applyBorder="1" applyAlignment="1">
      <x:alignment vertical="top" wrapText="1"/>
    </x:xf>
    <x:xf numFmtId="0" fontId="8" fillId="4" borderId="1" xfId="0" applyNumberFormat="1" applyFont="1" applyFill="1" applyBorder="1" applyAlignment="1">
      <x:alignment horizontal="center" vertical="center" wrapText="1"/>
    </x:xf>
    <x:xf numFmtId="0" fontId="11" fillId="7"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b5e1556be04cfa" /><Relationship Type="http://schemas.openxmlformats.org/officeDocument/2006/relationships/theme" Target="/xl/theme/theme1.xml" Id="R0d84285eff2e4f31" /><Relationship Type="http://schemas.openxmlformats.org/officeDocument/2006/relationships/sharedStrings" Target="/xl/sharedStrings.xml" Id="R506e5036dec94f89" /><Relationship Type="http://schemas.openxmlformats.org/officeDocument/2006/relationships/worksheet" Target="/xl/worksheets/sheet1.xml" Id="Rbde9eada13c84447" /><Relationship Type="http://schemas.openxmlformats.org/officeDocument/2006/relationships/worksheet" Target="/xl/worksheets/sheet2.xml" Id="R61e20e997b64461a" /><Relationship Type="http://schemas.openxmlformats.org/officeDocument/2006/relationships/worksheet" Target="/xl/worksheets/sheet3.xml" Id="R3953e1baeabc4b6e" /><Relationship Type="http://schemas.openxmlformats.org/officeDocument/2006/relationships/worksheet" Target="/xl/worksheets/sheet4.xml" Id="R09466f05cd70475a" /></Relationships>
</file>

<file path=xl/tables/table1.xml><?xml version="1.0" encoding="utf-8"?>
<x:table xmlns:x="http://schemas.openxmlformats.org/spreadsheetml/2006/main" id="1" name="SyntheticComplaintsTable" displayName="SyntheticComplaintsTable" ref="A4:R28" headerRowCount="1" totalsRowCount="0" totalsRowShown="0">
  <x:tableColumns count="18">
    <x:tableColumn id="1" name="Test ID"/>
    <x:tableColumn id="2" name="Category"/>
    <x:tableColumn id="3" name="Subject"/>
    <x:tableColumn id="4" name="Incident Date"/>
    <x:tableColumn id="5" name="Complaint Narrative"/>
    <x:tableColumn id="6" name="User Demand"/>
    <x:tableColumn id="7" name="Amount at Issue"/>
    <x:tableColumn id="8" name="Business Name"/>
    <x:tableColumn id="9" name="Business Address"/>
    <x:tableColumn id="10" name="Business Phone"/>
    <x:tableColumn id="11" name="Business Email"/>
    <x:tableColumn id="12" name="Customer Name (Fictional)"/>
    <x:tableColumn id="13" name="Customer Address (Fictional)"/>
    <x:tableColumn id="14" name="Customer Phone (Fictional)"/>
    <x:tableColumn id="15" name="Customer Email (Fictional)"/>
    <x:tableColumn id="16" name="Suggested Evidence"/>
    <x:tableColumn id="17" name="Synthetic Record?"/>
    <x:tableColumn id="18" name="Auto-Send Allowed?"/>
  </x:tableColumns>
  <x:tableStyleInfo name="TableStyleMedium2" showFirstColumn="0" showLastColumn="0" showRowStripes="1" showColumnStripes="0"/>
</x:table>
</file>

<file path=xl/tables/table2.xml><?xml version="1.0" encoding="utf-8"?>
<x:table xmlns:x="http://schemas.openxmlformats.org/spreadsheetml/2006/main" id="2" name="BusinessContactsTable" displayName="BusinessContactsTable" ref="A4:I28" headerRowCount="1" totalsRowCount="0" totalsRowShown="0">
  <x:tableColumns count="9">
    <x:tableColumn id="1" name="Business Name"/>
    <x:tableColumn id="2" name="Category"/>
    <x:tableColumn id="3" name="Business Address"/>
    <x:tableColumn id="4" name="Business Phone"/>
    <x:tableColumn id="5" name="Business Email"/>
    <x:tableColumn id="6" name="Contact Type"/>
    <x:tableColumn id="7" name="Source URL 1"/>
    <x:tableColumn id="8" name="Source URL 2"/>
    <x:tableColumn id="9" name="Checked On"/>
  </x:tableColumns>
  <x:tableStyleInfo name="TableStyleMedium2" showFirstColumn="0" showLastColumn="0" showRowStripes="1" showColumnStripes="0"/>
</x:table>
</file>

<file path=xl/tables/table3.xml><?xml version="1.0" encoding="utf-8"?>
<x:table xmlns:x="http://schemas.openxmlformats.org/spreadsheetml/2006/main" id="3" name="FictionalCustomersTable" displayName="FictionalCustomersTable" ref="A4:G28" headerRowCount="1" totalsRowCount="0" totalsRowShown="0">
  <x:tableColumns count="7">
    <x:tableColumn id="1" name="Customer ID"/>
    <x:tableColumn id="2" name="Customer Name"/>
    <x:tableColumn id="3" name="Customer Address"/>
    <x:tableColumn id="4" name="Customer Phone"/>
    <x:tableColumn id="5" name="Customer Email"/>
    <x:tableColumn id="6" name="Fictional?"/>
    <x:tableColumn id="7" name="Safety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5c35666b9b546b8" /></Relationships>
</file>

<file path=xl/worksheets/_rels/sheet3.xml.rels>&#65279;<?xml version="1.0" encoding="utf-8"?><Relationships xmlns="http://schemas.openxmlformats.org/package/2006/relationships"><Relationship Type="http://schemas.openxmlformats.org/officeDocument/2006/relationships/table" Target="/xl/tables/table2.xml" Id="Rd0d95b46652b4c36" /></Relationships>
</file>

<file path=xl/worksheets/_rels/sheet4.xml.rels>&#65279;<?xml version="1.0" encoding="utf-8"?><Relationships xmlns="http://schemas.openxmlformats.org/package/2006/relationships"><Relationship Type="http://schemas.openxmlformats.org/officeDocument/2006/relationships/table" Target="/xl/tables/table3.xml" Id="R8910aa80cdb74435" /></Relationships>
</file>

<file path=xl/worksheets/sheet1.xml><?xml version="1.0" encoding="utf-8"?>
<x:worksheet xmlns:x="http://schemas.openxmlformats.org/spreadsheetml/2006/main">
  <x:sheetFormatPr defaultRowHeight="15"/>
  <x:cols>
    <x:col min="1" max="1" width="24" hidden="0" customWidth="1"/>
    <x:col min="2" max="2" width="40"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29" t="str">
        <x:v>Complaint Warrior — Synthetic Complaint Test Pack</x:v>
      </x:c>
      <x:c r="B1" s="29"/>
      <x:c r="C1" s="29"/>
      <x:c r="D1" s="29"/>
      <x:c r="E1" s="29"/>
      <x:c r="F1" s="29"/>
      <x:c r="G1" s="29"/>
      <x:c r="H1" s="29"/>
    </x:row>
    <x:row r="2" ht="36" customHeight="1">
      <x:c r="A2" s="30" t="str">
        <x:v>TEST DATA ONLY — All complaints and customer identities are invented. Business contact details are public lookup data. Do not submit or auto-send any row without human review and replacing the scenario with a real customer account.</x:v>
      </x:c>
      <x:c r="B2" s="30"/>
      <x:c r="C2" s="30"/>
      <x:c r="D2" s="30"/>
      <x:c r="E2" s="30"/>
      <x:c r="F2" s="30"/>
      <x:c r="G2" s="30"/>
      <x:c r="H2" s="30"/>
    </x:row>
    <x:row r="3">
      <x:c r="A3" s="31"/>
      <x:c r="B3" s="31"/>
      <x:c r="C3" s="31"/>
      <x:c r="D3" s="31"/>
      <x:c r="E3" s="31"/>
      <x:c r="F3" s="31"/>
      <x:c r="G3" s="31"/>
      <x:c r="H3" s="31"/>
    </x:row>
    <x:row r="4" ht="28" customHeight="1">
      <x:c r="A4" s="32" t="str">
        <x:v>Workbook purpose</x:v>
      </x:c>
      <x:c r="B4" s="33" t="str">
        <x:v>Functional testing of complaint intake, storage, classification, routing, and export workflows.</x:v>
      </x:c>
      <x:c r="C4" s="31"/>
      <x:c r="D4" s="31"/>
      <x:c r="E4" s="31"/>
      <x:c r="F4" s="31"/>
      <x:c r="G4" s="31"/>
      <x:c r="H4" s="31"/>
    </x:row>
    <x:row r="5" ht="28" customHeight="1">
      <x:c r="A5" s="32" t="str">
        <x:v>Pattern basis</x:v>
      </x:c>
      <x:c r="B5" s="33" t="str">
        <x:v>Modeled on the attached Complaint Warrior databases: travel disruption, damaged goods, poor professional service, home repair, brokerage, and warranty cases.</x:v>
      </x:c>
      <x:c r="C5" s="31"/>
      <x:c r="D5" s="31"/>
      <x:c r="E5" s="31"/>
      <x:c r="F5" s="31"/>
      <x:c r="G5" s="31"/>
      <x:c r="H5" s="31"/>
    </x:row>
    <x:row r="6" ht="28" customHeight="1">
      <x:c r="A6" s="32" t="str">
        <x:v>Privacy handling</x:v>
      </x:c>
      <x:c r="B6" s="33" t="str">
        <x:v>No customer, subscriber, or personal contact data from the attached databases was copied into this workbook.</x:v>
      </x:c>
      <x:c r="C6" s="31"/>
      <x:c r="D6" s="31"/>
      <x:c r="E6" s="31"/>
      <x:c r="F6" s="31"/>
      <x:c r="G6" s="31"/>
      <x:c r="H6" s="31"/>
    </x:row>
    <x:row r="7" ht="28" customHeight="1">
      <x:c r="A7" s="32" t="str">
        <x:v>Synthetic complaints</x:v>
      </x:c>
      <x:c r="B7" s="33" t="n">
        <x:f>COUNTA('Import Data'!$A$5:$A$28)</x:f>
        <x:v>24</x:v>
      </x:c>
      <x:c r="C7" s="31"/>
      <x:c r="D7" s="31"/>
      <x:c r="E7" s="31"/>
      <x:c r="F7" s="31"/>
      <x:c r="G7" s="31"/>
      <x:c r="H7" s="31"/>
    </x:row>
    <x:row r="8" ht="28" customHeight="1">
      <x:c r="A8" s="32" t="str">
        <x:v>Synthetic customer records</x:v>
      </x:c>
      <x:c r="B8" s="33" t="n">
        <x:f>COUNTIF('Customer Test Data'!$F$5:$F$28,"YES")</x:f>
        <x:v>24</x:v>
      </x:c>
      <x:c r="C8" s="31"/>
      <x:c r="D8" s="31"/>
      <x:c r="E8" s="31"/>
      <x:c r="F8" s="31"/>
      <x:c r="G8" s="31"/>
      <x:c r="H8" s="31"/>
    </x:row>
    <x:row r="9" ht="28" customHeight="1">
      <x:c r="A9" s="32" t="str">
        <x:v>Rows blocked from auto-send</x:v>
      </x:c>
      <x:c r="B9" s="33" t="n">
        <x:f>COUNTIF('Import Data'!$R$5:$R$28,"NO")</x:f>
        <x:v>24</x:v>
      </x:c>
      <x:c r="C9" s="31"/>
      <x:c r="D9" s="31"/>
      <x:c r="E9" s="31"/>
      <x:c r="F9" s="31"/>
      <x:c r="G9" s="31"/>
      <x:c r="H9" s="31"/>
    </x:row>
    <x:row r="10" ht="28" customHeight="1">
      <x:c r="A10" s="32" t="str">
        <x:v>Total modeled amount</x:v>
      </x:c>
      <x:c r="B10" s="34" t="n">
        <x:f>SUM('Import Data'!$G$5:$G$28)</x:f>
        <x:v>5259.759999999999</x:v>
      </x:c>
      <x:c r="C10" s="31"/>
      <x:c r="D10" s="31"/>
      <x:c r="E10" s="31"/>
      <x:c r="F10" s="31"/>
      <x:c r="G10" s="31"/>
      <x:c r="H10" s="31"/>
    </x:row>
    <x:row r="11" ht="28" customHeight="1">
      <x:c r="A11" s="32" t="str">
        <x:v>Contact check date</x:v>
      </x:c>
      <x:c r="B11" s="35" t="n">
        <x:v>46268</x:v>
      </x:c>
      <x:c r="C11" s="31"/>
      <x:c r="D11" s="31"/>
      <x:c r="E11" s="31"/>
      <x:c r="F11" s="31"/>
      <x:c r="G11" s="31"/>
      <x:c r="H11" s="31"/>
    </x:row>
    <x:row r="12" ht="28" customHeight="1">
      <x:c r="A12" s="31"/>
      <x:c r="B12" s="31"/>
      <x:c r="C12" s="31"/>
      <x:c r="D12" s="31"/>
      <x:c r="E12" s="31"/>
      <x:c r="F12" s="31"/>
      <x:c r="G12" s="31"/>
      <x:c r="H12" s="31"/>
    </x:row>
    <x:row r="13" ht="28" customHeight="1">
      <x:c r="A13" s="36" t="str">
        <x:v>Category</x:v>
      </x:c>
      <x:c r="B13" s="36" t="str">
        <x:v>Complaint count</x:v>
      </x:c>
      <x:c r="C13" s="36" t="str">
        <x:v>Share of pack</x:v>
      </x:c>
      <x:c r="D13" s="31"/>
      <x:c r="E13" s="31"/>
      <x:c r="F13" s="31"/>
      <x:c r="G13" s="31"/>
      <x:c r="H13" s="31"/>
    </x:row>
    <x:row r="14" ht="28" customHeight="1">
      <x:c r="A14" s="37" t="str">
        <x:v>Travel and transport</x:v>
      </x:c>
      <x:c r="B14" s="38" t="n">
        <x:f>COUNTIF('Import Data'!$B$5:$B$28,A14)</x:f>
        <x:v>3</x:v>
      </x:c>
      <x:c r="C14" s="39" t="n">
        <x:f>B14/$B$7</x:f>
        <x:v>0.125</x:v>
      </x:c>
      <x:c r="D14" s="31"/>
      <x:c r="E14" s="31"/>
      <x:c r="F14" s="31"/>
      <x:c r="G14" s="31"/>
      <x:c r="H14" s="31"/>
    </x:row>
    <x:row r="15" ht="28" customHeight="1">
      <x:c r="A15" s="37" t="str">
        <x:v>Retail and ecommerce</x:v>
      </x:c>
      <x:c r="B15" s="38" t="n">
        <x:f>COUNTIF('Import Data'!$B$5:$B$28,A15)</x:f>
        <x:v>3</x:v>
      </x:c>
      <x:c r="C15" s="39" t="n">
        <x:f>B15/$B$7</x:f>
        <x:v>0.125</x:v>
      </x:c>
      <x:c r="D15" s="31"/>
      <x:c r="E15" s="31"/>
      <x:c r="F15" s="31"/>
      <x:c r="G15" s="31"/>
      <x:c r="H15" s="31"/>
    </x:row>
    <x:row r="16" ht="28" customHeight="1">
      <x:c r="A16" s="37" t="str">
        <x:v>Electronics and specialty retail</x:v>
      </x:c>
      <x:c r="B16" s="38" t="n">
        <x:f>COUNTIF('Import Data'!$B$5:$B$28,A16)</x:f>
        <x:v>3</x:v>
      </x:c>
      <x:c r="C16" s="39" t="n">
        <x:f>B16/$B$7</x:f>
        <x:v>0.125</x:v>
      </x:c>
      <x:c r="D16" s="31"/>
      <x:c r="E16" s="31"/>
      <x:c r="F16" s="31"/>
      <x:c r="G16" s="31"/>
      <x:c r="H16" s="31"/>
    </x:row>
    <x:row r="17" ht="28" customHeight="1">
      <x:c r="A17" s="37" t="str">
        <x:v>Tutoring and music education</x:v>
      </x:c>
      <x:c r="B17" s="38" t="n">
        <x:f>COUNTIF('Import Data'!$B$5:$B$28,A17)</x:f>
        <x:v>3</x:v>
      </x:c>
      <x:c r="C17" s="39" t="n">
        <x:f>B17/$B$7</x:f>
        <x:v>0.125</x:v>
      </x:c>
      <x:c r="D17" s="31"/>
      <x:c r="E17" s="31"/>
      <x:c r="F17" s="31"/>
      <x:c r="G17" s="31"/>
      <x:c r="H17" s="31"/>
    </x:row>
    <x:row r="18" ht="28" customHeight="1">
      <x:c r="A18" s="37" t="str">
        <x:v>Tax software and filing</x:v>
      </x:c>
      <x:c r="B18" s="38" t="n">
        <x:f>COUNTIF('Import Data'!$B$5:$B$28,A18)</x:f>
        <x:v>3</x:v>
      </x:c>
      <x:c r="C18" s="39" t="n">
        <x:f>B18/$B$7</x:f>
        <x:v>0.125</x:v>
      </x:c>
      <x:c r="D18" s="31"/>
      <x:c r="E18" s="31"/>
      <x:c r="F18" s="31"/>
      <x:c r="G18" s="31"/>
      <x:c r="H18" s="31"/>
    </x:row>
    <x:row r="19" ht="28" customHeight="1">
      <x:c r="A19" s="37" t="str">
        <x:v>Home services and marketplaces</x:v>
      </x:c>
      <x:c r="B19" s="38" t="n">
        <x:f>COUNTIF('Import Data'!$B$5:$B$28,A19)</x:f>
        <x:v>3</x:v>
      </x:c>
      <x:c r="C19" s="39" t="n">
        <x:f>B19/$B$7</x:f>
        <x:v>0.125</x:v>
      </x:c>
      <x:c r="D19" s="31"/>
      <x:c r="E19" s="31"/>
      <x:c r="F19" s="31"/>
      <x:c r="G19" s="31"/>
      <x:c r="H19" s="31"/>
    </x:row>
    <x:row r="20" ht="28" customHeight="1">
      <x:c r="A20" s="37" t="str">
        <x:v>Business brokerage</x:v>
      </x:c>
      <x:c r="B20" s="38" t="n">
        <x:f>COUNTIF('Import Data'!$B$5:$B$28,A20)</x:f>
        <x:v>3</x:v>
      </x:c>
      <x:c r="C20" s="39" t="n">
        <x:f>B20/$B$7</x:f>
        <x:v>0.125</x:v>
      </x:c>
      <x:c r="D20" s="31"/>
      <x:c r="E20" s="31"/>
      <x:c r="F20" s="31"/>
      <x:c r="G20" s="31"/>
      <x:c r="H20" s="31"/>
    </x:row>
    <x:row r="21" ht="28" customHeight="1">
      <x:c r="A21" s="37" t="str">
        <x:v>Outdoor apparel and equipment</x:v>
      </x:c>
      <x:c r="B21" s="38" t="n">
        <x:f>COUNTIF('Import Data'!$B$5:$B$28,A21)</x:f>
        <x:v>3</x:v>
      </x:c>
      <x:c r="C21" s="39" t="n">
        <x:f>B21/$B$7</x:f>
        <x:v>0.125</x:v>
      </x:c>
      <x:c r="D21" s="31"/>
      <x:c r="E21" s="31"/>
      <x:c r="F21" s="31"/>
      <x:c r="G21" s="31"/>
      <x:c r="H21" s="31"/>
    </x:row>
    <x:row r="22" ht="28" customHeight="1">
      <x:c r="A22" s="31"/>
      <x:c r="B22" s="31"/>
      <x:c r="C22" s="31"/>
      <x:c r="D22" s="31"/>
      <x:c r="E22" s="31"/>
      <x:c r="F22" s="31"/>
      <x:c r="G22" s="31"/>
      <x:c r="H22" s="31"/>
    </x:row>
    <x:row r="23" ht="44" customHeight="1">
      <x:c r="A23" s="32" t="str">
        <x:v>Safe-use checklist</x:v>
      </x:c>
      <x:c r="B23" s="33" t="str">
        <x:v>1. Keep Synthetic Record? = YES during testing.</x:v>
      </x:c>
      <x:c r="C23" s="33" t="str">
        <x:v>2. Keep Auto-Send Allowed? = NO.</x:v>
      </x:c>
      <x:c r="D23" s="33" t="str">
        <x:v>3. Never use fictional customer data for identity verification.</x:v>
      </x:c>
      <x:c r="E23" s="33" t="str">
        <x:v>4. Recheck business contacts before any real outreach.</x:v>
      </x:c>
      <x:c r="F23" s="33" t="str">
        <x:v>5. Replace the scenario with verified facts.</x:v>
      </x:c>
      <x:c r="G23" s="33" t="str">
        <x:v>6. Attach only real evidence for real cases.</x:v>
      </x:c>
      <x:c r="H23" s="33" t="str">
        <x:v>7. Obtain user approval before submission.</x:v>
      </x:c>
    </x:row>
    <x:row r="24" ht="44" customHeight="1">
      <x:c r="A24" s="32" t="str">
        <x:v>Source files reviewed</x:v>
      </x:c>
      <x:c r="B24" s="33" t="str">
        <x:v>cw_store(20260903-160739).sqlite</x:v>
      </x:c>
      <x:c r="C24" s="33" t="str">
        <x:v>cw_companies(20260903-160738).sqlite</x:v>
      </x:c>
      <x:c r="D24" s="33" t="str"/>
      <x:c r="E24" s="33" t="str"/>
      <x:c r="F24" s="33" t="str"/>
      <x:c r="G24" s="33" t="str"/>
      <x:c r="H24" s="33" t="str"/>
    </x:row>
    <x:row r="25" ht="68" customHeight="1">
      <x:c r="A25" s="32" t="str">
        <x:v>Contact-source notes</x:v>
      </x:c>
      <x:c r="B25" s="33" t="str">
        <x:v>See Business Contacts. Some public emails are local, technical, professional, legal, or customer-relations channels; the contact type is identified so routing behavior can be tested accurately.</x:v>
      </x:c>
      <x:c r="C25" s="33" t="str"/>
      <x:c r="D25" s="33" t="str"/>
      <x:c r="E25" s="33" t="str"/>
      <x:c r="F25" s="33" t="str"/>
      <x:c r="G25" s="33" t="str"/>
      <x:c r="H25" s="33" t="str"/>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25" hidden="0" customWidth="1"/>
    <x:col min="3" max="3" width="34" hidden="0" customWidth="1"/>
    <x:col min="4" max="4" width="13" hidden="0" customWidth="1"/>
    <x:col min="5" max="5" width="58" hidden="0" customWidth="1"/>
    <x:col min="6" max="6" width="48" hidden="0" customWidth="1"/>
    <x:col min="7" max="7" width="15" hidden="0" customWidth="1"/>
    <x:col min="8" max="8" width="31" hidden="0" customWidth="1"/>
    <x:col min="9" max="9" width="39" hidden="0" customWidth="1"/>
    <x:col min="10" max="10" width="18" hidden="0" customWidth="1"/>
    <x:col min="11" max="11" width="31" hidden="0" customWidth="1"/>
    <x:col min="12" max="12" width="24" hidden="0" customWidth="1"/>
    <x:col min="13" max="13" width="38" hidden="0" customWidth="1"/>
    <x:col min="14" max="14" width="22" hidden="0" customWidth="1"/>
    <x:col min="15" max="15" width="32" hidden="0" customWidth="1"/>
    <x:col min="16" max="16" width="39" hidden="0" customWidth="1"/>
    <x:col min="17" max="17" width="18" hidden="0" customWidth="1"/>
    <x:col min="18" max="18" width="18" hidden="0" customWidth="1"/>
  </x:cols>
  <x:sheetData>
    <x:row r="1" ht="30" customHeight="1">
      <x:c r="A1" s="29" t="str">
        <x:v>Synthetic Complaint Import Data — 24 Test Records</x:v>
      </x:c>
      <x:c r="B1" s="29"/>
      <x:c r="C1" s="29"/>
      <x:c r="D1" s="29"/>
      <x:c r="E1" s="29"/>
      <x:c r="F1" s="29"/>
      <x:c r="G1" s="29"/>
      <x:c r="H1" s="29"/>
      <x:c r="I1" s="29"/>
      <x:c r="J1" s="29"/>
      <x:c r="K1" s="29"/>
      <x:c r="L1" s="29"/>
      <x:c r="M1" s="29"/>
      <x:c r="N1" s="29"/>
      <x:c r="O1" s="29"/>
      <x:c r="P1" s="29"/>
      <x:c r="Q1" s="29"/>
      <x:c r="R1" s="29"/>
    </x:row>
    <x:row r="2" ht="36" customHeight="1">
      <x:c r="A2" s="30" t="str">
        <x:v>Every row is invented and intended only for testing. Public business contacts are included for lookup/import validation; customer phones use the reserved 555-0100–0199 fictional range. Auto-Send Allowed? is locked to NO by validation.</x:v>
      </x:c>
      <x:c r="B2" s="30"/>
      <x:c r="C2" s="30"/>
      <x:c r="D2" s="30"/>
      <x:c r="E2" s="30"/>
      <x:c r="F2" s="30"/>
      <x:c r="G2" s="30"/>
      <x:c r="H2" s="30"/>
      <x:c r="I2" s="30"/>
      <x:c r="J2" s="30"/>
      <x:c r="K2" s="30"/>
      <x:c r="L2" s="30"/>
      <x:c r="M2" s="30"/>
      <x:c r="N2" s="30"/>
      <x:c r="O2" s="30"/>
      <x:c r="P2" s="30"/>
      <x:c r="Q2" s="30"/>
      <x:c r="R2" s="30"/>
    </x:row>
    <x:row r="3">
      <x:c r="A3" s="31"/>
      <x:c r="B3" s="31"/>
      <x:c r="C3" s="31"/>
      <x:c r="D3" s="31"/>
      <x:c r="E3" s="31"/>
      <x:c r="F3" s="31"/>
      <x:c r="G3" s="31"/>
      <x:c r="H3" s="31"/>
      <x:c r="I3" s="31"/>
      <x:c r="J3" s="31"/>
      <x:c r="K3" s="31"/>
      <x:c r="L3" s="31"/>
      <x:c r="M3" s="31"/>
      <x:c r="N3" s="31"/>
      <x:c r="O3" s="31"/>
      <x:c r="P3" s="31"/>
      <x:c r="Q3" s="31"/>
      <x:c r="R3" s="31"/>
    </x:row>
    <x:row r="4" ht="34" customHeight="1">
      <x:c r="A4" s="36" t="str">
        <x:v>Test ID</x:v>
      </x:c>
      <x:c r="B4" s="36" t="str">
        <x:v>Category</x:v>
      </x:c>
      <x:c r="C4" s="36" t="str">
        <x:v>Subject</x:v>
      </x:c>
      <x:c r="D4" s="36" t="str">
        <x:v>Incident Date</x:v>
      </x:c>
      <x:c r="E4" s="36" t="str">
        <x:v>Complaint Narrative</x:v>
      </x:c>
      <x:c r="F4" s="36" t="str">
        <x:v>User Demand</x:v>
      </x:c>
      <x:c r="G4" s="36" t="str">
        <x:v>Amount at Issue</x:v>
      </x:c>
      <x:c r="H4" s="36" t="str">
        <x:v>Business Name</x:v>
      </x:c>
      <x:c r="I4" s="36" t="str">
        <x:v>Business Address</x:v>
      </x:c>
      <x:c r="J4" s="36" t="str">
        <x:v>Business Phone</x:v>
      </x:c>
      <x:c r="K4" s="36" t="str">
        <x:v>Business Email</x:v>
      </x:c>
      <x:c r="L4" s="36" t="str">
        <x:v>Customer Name (Fictional)</x:v>
      </x:c>
      <x:c r="M4" s="36" t="str">
        <x:v>Customer Address (Fictional)</x:v>
      </x:c>
      <x:c r="N4" s="36" t="str">
        <x:v>Customer Phone (Fictional)</x:v>
      </x:c>
      <x:c r="O4" s="36" t="str">
        <x:v>Customer Email (Fictional)</x:v>
      </x:c>
      <x:c r="P4" s="36" t="str">
        <x:v>Suggested Evidence</x:v>
      </x:c>
      <x:c r="Q4" s="36" t="str">
        <x:v>Synthetic Record?</x:v>
      </x:c>
      <x:c r="R4" s="36" t="str">
        <x:v>Auto-Send Allowed?</x:v>
      </x:c>
    </x:row>
    <x:row r="5" ht="76" customHeight="1">
      <x:c r="A5" s="48" t="str">
        <x:v>CW-TEST-001</x:v>
      </x:c>
      <x:c r="B5" s="49" t="str">
        <x:v>Travel and transport</x:v>
      </x:c>
      <x:c r="C5" s="33" t="str">
        <x:v>TEST — Refueling charge despite full-tank return</x:v>
      </x:c>
      <x:c r="D5" s="35" t="n">
        <x:v>46246</x:v>
      </x:c>
      <x:c r="E5" s="33" t="str">
        <x:v>Synthetic test scenario: I returned the rental with a full tank and uploaded a time-stamped dashboard photo showing the fuel gauge and mileage. My final receipt still added a refueling charge that was not on the estimate, and the first support response did not address the photo.</x:v>
      </x:c>
      <x:c r="F5" s="33" t="str">
        <x:v>Reverse the $126.40 refueling charge, send a corrected final receipt, and explain the evidence used to assess the fee.</x:v>
      </x:c>
      <x:c r="G5" s="34" t="n">
        <x:v>126.4</x:v>
      </x:c>
      <x:c r="H5" s="33" t="str">
        <x:v>SIXT rent a car</x:v>
      </x:c>
      <x:c r="I5" s="33" t="str">
        <x:v>1501 NW 49th Street, Suite 100, Fort Lauderdale, FL 33309</x:v>
      </x:c>
      <x:c r="J5" s="33" t="str">
        <x:v>(888) 749-8227</x:v>
      </x:c>
      <x:c r="K5" s="33" t="str">
        <x:v>service@sixt.com</x:v>
      </x:c>
      <x:c r="L5" s="33" t="str">
        <x:v>Avery Testwell</x:v>
      </x:c>
      <x:c r="M5" s="33" t="str">
        <x:v>101 Test Case Way, Sacramento, CA 95814</x:v>
      </x:c>
      <x:c r="N5" s="33" t="str">
        <x:v>(916) 555-0101</x:v>
      </x:c>
      <x:c r="O5" s="33" t="str">
        <x:v>avery.testwell@example.com</x:v>
      </x:c>
      <x:c r="P5" s="33" t="str">
        <x:v>Fuel receipt, dashboard photo, pickup and return agreement</x:v>
      </x:c>
      <x:c r="Q5" s="50" t="str">
        <x:v>YES</x:v>
      </x:c>
      <x:c r="R5" s="51" t="str">
        <x:v>NO</x:v>
      </x:c>
    </x:row>
    <x:row r="6" ht="76" customHeight="1">
      <x:c r="A6" s="48" t="str">
        <x:v>CW-TEST-002</x:v>
      </x:c>
      <x:c r="B6" s="49" t="str">
        <x:v>Travel and transport</x:v>
      </x:c>
      <x:c r="C6" s="33" t="str">
        <x:v>TEST — Canceled bus and unreimbursed replacement travel</x:v>
      </x:c>
      <x:c r="D6" s="35" t="n">
        <x:v>46252</x:v>
      </x:c>
      <x:c r="E6" s="33" t="str">
        <x:v>Synthetic test scenario: My evening bus was canceled after I arrived at the stop, and the app offered no same-day replacement. I purchased another carrier's ticket and a meal while waiting, but my refund request has remained open without a decision.</x:v>
      </x:c>
      <x:c r="F6" s="33" t="str">
        <x:v>Refund the original fare and reimburse $98.00 in documented replacement transportation and meal costs, for total relief of $158.00.</x:v>
      </x:c>
      <x:c r="G6" s="34" t="n">
        <x:v>158</x:v>
      </x:c>
      <x:c r="H6" s="33" t="str">
        <x:v>FlixBus</x:v>
      </x:c>
      <x:c r="I6" s="33" t="str">
        <x:v>12575 Beatrice St, Los Angeles, CA 90066</x:v>
      </x:c>
      <x:c r="J6" s="33" t="str">
        <x:v>(213) 675-1623</x:v>
      </x:c>
      <x:c r="K6" s="33" t="str">
        <x:v>service@flixbus.com</x:v>
      </x:c>
      <x:c r="L6" s="33" t="str">
        <x:v>Jordan Sample</x:v>
      </x:c>
      <x:c r="M6" s="33" t="str">
        <x:v>202 Sample Data Ave, Austin, TX 78701</x:v>
      </x:c>
      <x:c r="N6" s="33" t="str">
        <x:v>(512) 555-0102</x:v>
      </x:c>
      <x:c r="O6" s="33" t="str">
        <x:v>jordan.sample@example.com</x:v>
      </x:c>
      <x:c r="P6" s="33" t="str">
        <x:v>Original ticket, cancellation alert, replacement ticket, meal receipt</x:v>
      </x:c>
      <x:c r="Q6" s="50" t="str">
        <x:v>YES</x:v>
      </x:c>
      <x:c r="R6" s="51" t="str">
        <x:v>NO</x:v>
      </x:c>
    </x:row>
    <x:row r="7" ht="76" customHeight="1">
      <x:c r="A7" s="48" t="str">
        <x:v>CW-TEST-003</x:v>
      </x:c>
      <x:c r="B7" s="49" t="str">
        <x:v>Travel and transport</x:v>
      </x:c>
      <x:c r="C7" s="33" t="str">
        <x:v>TEST — Excursion credit promised but not posted</x:v>
      </x:c>
      <x:c r="D7" s="35" t="n">
        <x:v>46232</x:v>
      </x:c>
      <x:c r="E7" s="33" t="str">
        <x:v>Synthetic test scenario: A port change caused my prepaid shore excursion to be canceled. Guest services said the $219.00 would return to my onboard account, but the final statement shows neither a credit nor a refund to the original payment method.</x:v>
      </x:c>
      <x:c r="F7" s="33" t="str">
        <x:v>Issue the $219.00 refund to the original payment method and provide written confirmation showing the transaction reference.</x:v>
      </x:c>
      <x:c r="G7" s="34" t="n">
        <x:v>219</x:v>
      </x:c>
      <x:c r="H7" s="33" t="str">
        <x:v>Carnival Cruise Line</x:v>
      </x:c>
      <x:c r="I7" s="33" t="str">
        <x:v>3655 NW 87th Ave, Miami, FL 33178</x:v>
      </x:c>
      <x:c r="J7" s="33" t="str">
        <x:v>(800) 764-7419</x:v>
      </x:c>
      <x:c r="K7" s="33" t="str">
        <x:v>guestcare@carnival.com</x:v>
      </x:c>
      <x:c r="L7" s="33" t="str">
        <x:v>Riley Mock</x:v>
      </x:c>
      <x:c r="M7" s="33" t="str">
        <x:v>303 Demo Record Rd, Miami, FL 33130</x:v>
      </x:c>
      <x:c r="N7" s="33" t="str">
        <x:v>(305) 555-0103</x:v>
      </x:c>
      <x:c r="O7" s="33" t="str">
        <x:v>riley.mock@example.com</x:v>
      </x:c>
      <x:c r="P7" s="33" t="str">
        <x:v>Excursion confirmation, cancellation notice, onboard statement</x:v>
      </x:c>
      <x:c r="Q7" s="50" t="str">
        <x:v>YES</x:v>
      </x:c>
      <x:c r="R7" s="51" t="str">
        <x:v>NO</x:v>
      </x:c>
    </x:row>
    <x:row r="8" ht="76" customHeight="1">
      <x:c r="A8" s="48" t="str">
        <x:v>CW-TEST-004</x:v>
      </x:c>
      <x:c r="B8" s="49" t="str">
        <x:v>Retail and ecommerce</x:v>
      </x:c>
      <x:c r="C8" s="33" t="str">
        <x:v>TEST — Boot sole separated and return was rejected</x:v>
      </x:c>
      <x:c r="D8" s="35" t="n">
        <x:v>46239</x:v>
      </x:c>
      <x:c r="E8" s="33" t="str">
        <x:v>Synthetic test scenario: The sole on a pair of boots separated after 18 days of normal wear. I started a return within the stated window, but the package was sent back to me as 'worn' without addressing the apparent defect.</x:v>
      </x:c>
      <x:c r="F8" s="33" t="str">
        <x:v>Provide a replacement pair or a full $142.10 refund, including any return-shipping cost.</x:v>
      </x:c>
      <x:c r="G8" s="34" t="n">
        <x:v>142.1</x:v>
      </x:c>
      <x:c r="H8" s="33" t="str">
        <x:v>Zappos</x:v>
      </x:c>
      <x:c r="I8" s="33" t="str">
        <x:v>400 Stewart Ave, Las Vegas, NV 89101</x:v>
      </x:c>
      <x:c r="J8" s="33" t="str">
        <x:v>(800) 927-7671</x:v>
      </x:c>
      <x:c r="K8" s="33" t="str">
        <x:v>cs@support.zappos.com</x:v>
      </x:c>
      <x:c r="L8" s="33" t="str">
        <x:v>Casey Example</x:v>
      </x:c>
      <x:c r="M8" s="33" t="str">
        <x:v>404 Sandbox St, Las Vegas, NV 89101</x:v>
      </x:c>
      <x:c r="N8" s="33" t="str">
        <x:v>(702) 555-0104</x:v>
      </x:c>
      <x:c r="O8" s="33" t="str">
        <x:v>casey.example@example.com</x:v>
      </x:c>
      <x:c r="P8" s="33" t="str">
        <x:v>Order receipt, photos of sole separation, return tracking</x:v>
      </x:c>
      <x:c r="Q8" s="50" t="str">
        <x:v>YES</x:v>
      </x:c>
      <x:c r="R8" s="51" t="str">
        <x:v>NO</x:v>
      </x:c>
    </x:row>
    <x:row r="9" ht="76" customHeight="1">
      <x:c r="A9" s="48" t="str">
        <x:v>CW-TEST-005</x:v>
      </x:c>
      <x:c r="B9" s="49" t="str">
        <x:v>Retail and ecommerce</x:v>
      </x:c>
      <x:c r="C9" s="33" t="str">
        <x:v>TEST — Water-damaged pet food in recurring order</x:v>
      </x:c>
      <x:c r="D9" s="35" t="n">
        <x:v>46256</x:v>
      </x:c>
      <x:c r="E9" s="33" t="str">
        <x:v>Synthetic test scenario: Two bags in my recurring dog-food delivery arrived wet, split, and unusable. A replacement order was opened, but the damaged shipment was also duplicated in my AutoShip schedule.</x:v>
      </x:c>
      <x:c r="F9" s="33" t="str">
        <x:v>Refund $96.48 for the damaged bags, cancel the duplicate shipment, and confirm the next AutoShip date and quantity.</x:v>
      </x:c>
      <x:c r="G9" s="34" t="n">
        <x:v>96.48</x:v>
      </x:c>
      <x:c r="H9" s="33" t="str">
        <x:v>Chewy</x:v>
      </x:c>
      <x:c r="I9" s="33" t="str">
        <x:v>7700 W Sunrise Blvd, Plantation, FL 33322</x:v>
      </x:c>
      <x:c r="J9" s="33" t="str">
        <x:v>(800) 672-4399</x:v>
      </x:c>
      <x:c r="K9" s="33" t="str">
        <x:v>service@chewy.com</x:v>
      </x:c>
      <x:c r="L9" s="33" t="str">
        <x:v>Morgan Sandbox</x:v>
      </x:c>
      <x:c r="M9" s="33" t="str">
        <x:v>505 Placeholder Pl, Portland, OR 97205</x:v>
      </x:c>
      <x:c r="N9" s="33" t="str">
        <x:v>(503) 555-0105</x:v>
      </x:c>
      <x:c r="O9" s="33" t="str">
        <x:v>morgan.sandbox@example.com</x:v>
      </x:c>
      <x:c r="P9" s="33" t="str">
        <x:v>Box photos, lot numbers, packing slip, AutoShip screenshot</x:v>
      </x:c>
      <x:c r="Q9" s="50" t="str">
        <x:v>YES</x:v>
      </x:c>
      <x:c r="R9" s="51" t="str">
        <x:v>NO</x:v>
      </x:c>
    </x:row>
    <x:row r="10" ht="76" customHeight="1">
      <x:c r="A10" s="48" t="str">
        <x:v>CW-TEST-006</x:v>
      </x:c>
      <x:c r="B10" s="49" t="str">
        <x:v>Retail and ecommerce</x:v>
      </x:c>
      <x:c r="C10" s="33" t="str">
        <x:v>TEST — Open-box lens received as new</x:v>
      </x:c>
      <x:c r="D10" s="35" t="n">
        <x:v>46219</x:v>
      </x:c>
      <x:c r="E10" s="33" t="str">
        <x:v>Synthetic test scenario: A lens sold as new arrived with fingerprints, body scratches, and opened internal packaging. I returned it immediately, but the refund was reduced by a restocking fee even though the condition issue was reported on delivery day.</x:v>
      </x:c>
      <x:c r="F10" s="33" t="str">
        <x:v>Refund the remaining balance so the total refund equals $699.00 and reimburse return shipping.</x:v>
      </x:c>
      <x:c r="G10" s="34" t="n">
        <x:v>699</x:v>
      </x:c>
      <x:c r="H10" s="33" t="str">
        <x:v>B&amp;H Photo Video</x:v>
      </x:c>
      <x:c r="I10" s="33" t="str">
        <x:v>420 9th Ave, New York, NY 10001</x:v>
      </x:c>
      <x:c r="J10" s="33" t="str">
        <x:v>(800) 221-5743</x:v>
      </x:c>
      <x:c r="K10" s="33" t="str">
        <x:v>cs@bhphoto.com</x:v>
      </x:c>
      <x:c r="L10" s="33" t="str">
        <x:v>Taylor Placeholder</x:v>
      </x:c>
      <x:c r="M10" s="33" t="str">
        <x:v>606 Mockup Blvd, New York, NY 10001</x:v>
      </x:c>
      <x:c r="N10" s="33" t="str">
        <x:v>(212) 555-0106</x:v>
      </x:c>
      <x:c r="O10" s="33" t="str">
        <x:v>taylor.placeholder@example.com</x:v>
      </x:c>
      <x:c r="P10" s="33" t="str">
        <x:v>Unboxing photos, order page, return authorization, refund notice</x:v>
      </x:c>
      <x:c r="Q10" s="50" t="str">
        <x:v>YES</x:v>
      </x:c>
      <x:c r="R10" s="51" t="str">
        <x:v>NO</x:v>
      </x:c>
    </x:row>
    <x:row r="11" ht="76" customHeight="1">
      <x:c r="A11" s="48" t="str">
        <x:v>CW-TEST-007</x:v>
      </x:c>
      <x:c r="B11" s="49" t="str">
        <x:v>Electronics and specialty retail</x:v>
      </x:c>
      <x:c r="C11" s="33" t="str">
        <x:v>TEST — Studio strobe misfires after troubleshooting</x:v>
      </x:c>
      <x:c r="D11" s="35" t="n">
        <x:v>46242</x:v>
      </x:c>
      <x:c r="E11" s="33" t="str">
        <x:v>Synthetic test scenario: A new in-house-brand studio strobe began misfiring after two sessions. I followed the published reset and channel checks with technical support, but the unit still fires intermittently and is not reliable for paid work.</x:v>
      </x:c>
      <x:c r="F11" s="33" t="str">
        <x:v>Provide a prepaid return label and either replace the unit promptly or issue a full $329.00 refund.</x:v>
      </x:c>
      <x:c r="G11" s="34" t="n">
        <x:v>329</x:v>
      </x:c>
      <x:c r="H11" s="33" t="str">
        <x:v>Adorama Brands</x:v>
      </x:c>
      <x:c r="I11" s="33" t="str">
        <x:v>42 W 18th St, New York, NY 10011</x:v>
      </x:c>
      <x:c r="J11" s="33" t="str">
        <x:v>(212) 647-9300</x:v>
      </x:c>
      <x:c r="K11" s="33" t="str">
        <x:v>brands@adorama.com</x:v>
      </x:c>
      <x:c r="L11" s="33" t="str">
        <x:v>Cameron Demo</x:v>
      </x:c>
      <x:c r="M11" s="33" t="str">
        <x:v>707 Fictional Ln, Chicago, IL 60601</x:v>
      </x:c>
      <x:c r="N11" s="33" t="str">
        <x:v>(312) 555-0107</x:v>
      </x:c>
      <x:c r="O11" s="33" t="str">
        <x:v>cameron.demo@example.com</x:v>
      </x:c>
      <x:c r="P11" s="33" t="str">
        <x:v>Serial number, video of misfires, support transcript, receipt</x:v>
      </x:c>
      <x:c r="Q11" s="50" t="str">
        <x:v>YES</x:v>
      </x:c>
      <x:c r="R11" s="51" t="str">
        <x:v>NO</x:v>
      </x:c>
    </x:row>
    <x:row r="12" ht="76" customHeight="1">
      <x:c r="A12" s="48" t="str">
        <x:v>CW-TEST-008</x:v>
      </x:c>
      <x:c r="B12" s="49" t="str">
        <x:v>Electronics and specialty retail</x:v>
      </x:c>
      <x:c r="C12" s="33" t="str">
        <x:v>TEST — Delivered package contained no graphics card</x:v>
      </x:c>
      <x:c r="D12" s="35" t="n">
        <x:v>46259</x:v>
      </x:c>
      <x:c r="E12" s="33" t="str">
        <x:v>Synthetic test scenario: The carrier delivered a box with retaped seams, and the graphics-card retail package inside was empty. I reported the issue within an hour, but the claim was closed because the outer package had a delivery scan.</x:v>
      </x:c>
      <x:c r="F12" s="33" t="str">
        <x:v>Reopen the investigation and provide either the ordered graphics card or a $799.99 refund.</x:v>
      </x:c>
      <x:c r="G12" s="34" t="n">
        <x:v>799.99</x:v>
      </x:c>
      <x:c r="H12" s="33" t="str">
        <x:v>Newegg</x:v>
      </x:c>
      <x:c r="I12" s="33" t="str">
        <x:v>17560 Rowland St, City of Industry, CA 91748</x:v>
      </x:c>
      <x:c r="J12" s="33" t="str">
        <x:v>(800) 390-1119</x:v>
      </x:c>
      <x:c r="K12" s="33" t="str">
        <x:v>wecare@service.newegg.com</x:v>
      </x:c>
      <x:c r="L12" s="33" t="str">
        <x:v>Quinn Testcase</x:v>
      </x:c>
      <x:c r="M12" s="33" t="str">
        <x:v>808 Trial Run Ct, Los Angeles, CA 90012</x:v>
      </x:c>
      <x:c r="N12" s="33" t="str">
        <x:v>(213) 555-0108</x:v>
      </x:c>
      <x:c r="O12" s="33" t="str">
        <x:v>quinn.testcase@example.com</x:v>
      </x:c>
      <x:c r="P12" s="33" t="str">
        <x:v>Doorbell video, packaging photos, carrier tracking, claim messages</x:v>
      </x:c>
      <x:c r="Q12" s="50" t="str">
        <x:v>YES</x:v>
      </x:c>
      <x:c r="R12" s="51" t="str">
        <x:v>NO</x:v>
      </x:c>
    </x:row>
    <x:row r="13" ht="76" customHeight="1">
      <x:c r="A13" s="48" t="str">
        <x:v>CW-TEST-009</x:v>
      </x:c>
      <x:c r="B13" s="49" t="str">
        <x:v>Electronics and specialty retail</x:v>
      </x:c>
      <x:c r="C13" s="33" t="str">
        <x:v>TEST — Three canceled lessons not credited</x:v>
      </x:c>
      <x:c r="D13" s="35" t="n">
        <x:v>46214</x:v>
      </x:c>
      <x:c r="E13" s="33" t="str">
        <x:v>Synthetic test scenario: The instructor canceled three prepaid lessons with less than two hours' notice. The academy calendar shows the cancellations, but the lesson credits were still deducted from my package.</x:v>
      </x:c>
      <x:c r="F13" s="33" t="str">
        <x:v>Restore or refund the three lesson credits worth $165.00 and assign an instructor who can keep the agreed weekly time.</x:v>
      </x:c>
      <x:c r="G13" s="34" t="n">
        <x:v>165</x:v>
      </x:c>
      <x:c r="H13" s="33" t="str">
        <x:v>Sweetwater Academy</x:v>
      </x:c>
      <x:c r="I13" s="33" t="str">
        <x:v>5501 US Hwy 30 W, Fort Wayne, IN 46818</x:v>
      </x:c>
      <x:c r="J13" s="33" t="str">
        <x:v>(260) 407-3833</x:v>
      </x:c>
      <x:c r="K13" s="33" t="str">
        <x:v>academy@sweetwater.com</x:v>
      </x:c>
      <x:c r="L13" s="33" t="str">
        <x:v>Rowan Fiction</x:v>
      </x:c>
      <x:c r="M13" s="33" t="str">
        <x:v>909 Quality Check Dr, Boston, MA 02108</x:v>
      </x:c>
      <x:c r="N13" s="33" t="str">
        <x:v>(617) 555-0109</x:v>
      </x:c>
      <x:c r="O13" s="33" t="str">
        <x:v>rowan.fiction@example.com</x:v>
      </x:c>
      <x:c r="P13" s="33" t="str">
        <x:v>Lesson package receipt, calendar history, cancellation messages</x:v>
      </x:c>
      <x:c r="Q13" s="50" t="str">
        <x:v>YES</x:v>
      </x:c>
      <x:c r="R13" s="51" t="str">
        <x:v>NO</x:v>
      </x:c>
    </x:row>
    <x:row r="14" ht="76" customHeight="1">
      <x:c r="A14" s="48" t="str">
        <x:v>CW-TEST-010</x:v>
      </x:c>
      <x:c r="B14" s="49" t="str">
        <x:v>Tutoring and music education</x:v>
      </x:c>
      <x:c r="C14" s="33" t="str">
        <x:v>TEST — No-show lesson billed as completed</x:v>
      </x:c>
      <x:c r="D14" s="35" t="n">
        <x:v>46248</x:v>
      </x:c>
      <x:c r="E14" s="33" t="str">
        <x:v>Synthetic test scenario: The tutor did not join the scheduled video lesson and did not respond during the 90-minute window. The platform later marked the lesson completed and charged my card.</x:v>
      </x:c>
      <x:c r="F14" s="33" t="str">
        <x:v>Reverse the $84.00 charge, remove the completed-lesson record, and confirm that the tutor cannot submit a replacement charge.</x:v>
      </x:c>
      <x:c r="G14" s="34" t="n">
        <x:v>84</x:v>
      </x:c>
      <x:c r="H14" s="33" t="str">
        <x:v>Wyzant</x:v>
      </x:c>
      <x:c r="I14" s="33" t="str">
        <x:v>777 Mariners Island Blvd, Suite 600, San Mateo, CA 94404</x:v>
      </x:c>
      <x:c r="J14" s="33" t="str">
        <x:v>(312) 646-6365</x:v>
      </x:c>
      <x:c r="K14" s="33" t="str">
        <x:v>support@wyzant.com</x:v>
      </x:c>
      <x:c r="L14" s="33" t="str">
        <x:v>Parker Prototype</x:v>
      </x:c>
      <x:c r="M14" s="33" t="str">
        <x:v>110 Prototype Pkwy, Denver, CO 80202</x:v>
      </x:c>
      <x:c r="N14" s="33" t="str">
        <x:v>(303) 555-0110</x:v>
      </x:c>
      <x:c r="O14" s="33" t="str">
        <x:v>parker.prototype@example.com</x:v>
      </x:c>
      <x:c r="P14" s="33" t="str">
        <x:v>Session log, message thread, card charge, lesson record</x:v>
      </x:c>
      <x:c r="Q14" s="50" t="str">
        <x:v>YES</x:v>
      </x:c>
      <x:c r="R14" s="51" t="str">
        <x:v>NO</x:v>
      </x:c>
    </x:row>
    <x:row r="15" ht="76" customHeight="1">
      <x:c r="A15" s="48" t="str">
        <x:v>CW-TEST-011</x:v>
      </x:c>
      <x:c r="B15" s="49" t="str">
        <x:v>Tutoring and music education</x:v>
      </x:c>
      <x:c r="C15" s="33" t="str">
        <x:v>TEST — Membership renewed after cancellation request</x:v>
      </x:c>
      <x:c r="D15" s="35" t="n">
        <x:v>46235</x:v>
      </x:c>
      <x:c r="E15" s="33" t="str">
        <x:v>Synthetic test scenario: I emailed a cancellation request before the renewal date and received an acknowledgment. The annual membership renewed anyway, and the account still shows another future billing date.</x:v>
      </x:c>
      <x:c r="F15" s="33" t="str">
        <x:v>Refund the $599.00 renewal, terminate the membership, and send confirmation that no further charges are scheduled.</x:v>
      </x:c>
      <x:c r="G15" s="34" t="n">
        <x:v>599</x:v>
      </x:c>
      <x:c r="H15" s="33" t="str">
        <x:v>Varsity Tutors</x:v>
      </x:c>
      <x:c r="I15" s="33" t="str">
        <x:v>8001 Forsyth Blvd, Suite 1050, St. Louis, MO 63105</x:v>
      </x:c>
      <x:c r="J15" s="33" t="str">
        <x:v>(800) 803-4058</x:v>
      </x:c>
      <x:c r="K15" s="33" t="str">
        <x:v>help@varsitytutors.com</x:v>
      </x:c>
      <x:c r="L15" s="33" t="str">
        <x:v>Sage Trial</x:v>
      </x:c>
      <x:c r="M15" s="33" t="str">
        <x:v>220 Scenario St, Seattle, WA 98101</x:v>
      </x:c>
      <x:c r="N15" s="33" t="str">
        <x:v>(206) 555-0111</x:v>
      </x:c>
      <x:c r="O15" s="33" t="str">
        <x:v>sage.trial@example.com</x:v>
      </x:c>
      <x:c r="P15" s="33" t="str">
        <x:v>Cancellation email, acknowledgment, billing statement, account screenshot</x:v>
      </x:c>
      <x:c r="Q15" s="50" t="str">
        <x:v>YES</x:v>
      </x:c>
      <x:c r="R15" s="51" t="str">
        <x:v>NO</x:v>
      </x:c>
    </x:row>
    <x:row r="16" ht="76" customHeight="1">
      <x:c r="A16" s="48" t="str">
        <x:v>CW-TEST-012</x:v>
      </x:c>
      <x:c r="B16" s="49" t="str">
        <x:v>Tutoring and music education</x:v>
      </x:c>
      <x:c r="C16" s="33" t="str">
        <x:v>TEST — Repeatedly shortened private music lessons</x:v>
      </x:c>
      <x:c r="D16" s="35" t="n">
        <x:v>46200</x:v>
      </x:c>
      <x:c r="E16" s="33" t="str">
        <x:v>Synthetic test scenario: Four private lessons started 15 to 20 minutes late, but each still ended at the original time. I raised the issue after the second occurrence and the schedule did not improve.</x:v>
      </x:c>
      <x:c r="F16" s="33" t="str">
        <x:v>Provide three 45-minute make-up lessons and move the student to a reliable instructor or a protected start time.</x:v>
      </x:c>
      <x:c r="G16" s="34" t="n">
        <x:v>150</x:v>
      </x:c>
      <x:c r="H16" s="33" t="str">
        <x:v>School of Rock West Hartford</x:v>
      </x:c>
      <x:c r="I16" s="33" t="str">
        <x:v>20 Isham Rd, 2nd Floor, West Hartford, CT 06107</x:v>
      </x:c>
      <x:c r="J16" s="33" t="str">
        <x:v>(860) 973-7625</x:v>
      </x:c>
      <x:c r="K16" s="33" t="str">
        <x:v>westhartford@schoolofrock.com</x:v>
      </x:c>
      <x:c r="L16" s="33" t="str">
        <x:v>Ellis Dummy</x:v>
      </x:c>
      <x:c r="M16" s="33" t="str">
        <x:v>330 Example Entry Rd, Hartford, CT 06103</x:v>
      </x:c>
      <x:c r="N16" s="33" t="str">
        <x:v>(860) 555-0112</x:v>
      </x:c>
      <x:c r="O16" s="33" t="str">
        <x:v>ellis.dummy@example.com</x:v>
      </x:c>
      <x:c r="P16" s="33" t="str">
        <x:v>Attendance notes, lesson schedule, prior email to school</x:v>
      </x:c>
      <x:c r="Q16" s="50" t="str">
        <x:v>YES</x:v>
      </x:c>
      <x:c r="R16" s="51" t="str">
        <x:v>NO</x:v>
      </x:c>
    </x:row>
    <x:row r="17" ht="76" customHeight="1">
      <x:c r="A17" s="48" t="str">
        <x:v>CW-TEST-013</x:v>
      </x:c>
      <x:c r="B17" s="49" t="str">
        <x:v>Tax software and filing</x:v>
      </x:c>
      <x:c r="C17" s="33" t="str">
        <x:v>TEST — Duplicate add-on charge and stalled state return</x:v>
      </x:c>
      <x:c r="D17" s="35" t="n">
        <x:v>46264</x:v>
      </x:c>
      <x:c r="E17" s="33" t="str">
        <x:v>Synthetic test scenario: The state e-file add-on was charged twice during checkout, and the return has shown 'pending transmission' for ten days. Support confirmed the duplicate payment but has not issued a credit or provided a filing status.</x:v>
      </x:c>
      <x:c r="F17" s="33" t="str">
        <x:v>Refund the duplicate $39.95 charge and provide a clear transmission status or steps to file without another fee.</x:v>
      </x:c>
      <x:c r="G17" s="34" t="n">
        <x:v>39.95</x:v>
      </x:c>
      <x:c r="H17" s="33" t="str">
        <x:v>TaxSlayer</x:v>
      </x:c>
      <x:c r="I17" s="33" t="str">
        <x:v>945 Broad Street, Augusta, GA 30901</x:v>
      </x:c>
      <x:c r="J17" s="33" t="str">
        <x:v>(706) 922-6741</x:v>
      </x:c>
      <x:c r="K17" s="33" t="str">
        <x:v>support@taxslayer.com</x:v>
      </x:c>
      <x:c r="L17" s="33" t="str">
        <x:v>Finley Specimen</x:v>
      </x:c>
      <x:c r="M17" s="33" t="str">
        <x:v>440 Test Harness Ave, Augusta, GA 30901</x:v>
      </x:c>
      <x:c r="N17" s="33" t="str">
        <x:v>(706) 555-0113</x:v>
      </x:c>
      <x:c r="O17" s="33" t="str">
        <x:v>finley.specimen@example.com</x:v>
      </x:c>
      <x:c r="P17" s="33" t="str">
        <x:v>Payment receipts, return-status screen, support case number</x:v>
      </x:c>
      <x:c r="Q17" s="50" t="str">
        <x:v>YES</x:v>
      </x:c>
      <x:c r="R17" s="51" t="str">
        <x:v>NO</x:v>
      </x:c>
    </x:row>
    <x:row r="18" ht="76" customHeight="1">
      <x:c r="A18" s="48" t="str">
        <x:v>CW-TEST-014</x:v>
      </x:c>
      <x:c r="B18" s="49" t="str">
        <x:v>Tax software and filing</x:v>
      </x:c>
      <x:c r="C18" s="33" t="str">
        <x:v>TEST — Wrong state transmitted despite correct profile</x:v>
      </x:c>
      <x:c r="D18" s="35" t="n">
        <x:v>46262</x:v>
      </x:c>
      <x:c r="E18" s="33" t="str">
        <x:v>Synthetic test scenario: My profile and interview answers identified my resident state correctly, but the paid state return was generated and transmitted for a different state. I now need an amendment and the correct state filing.</x:v>
      </x:c>
      <x:c r="F18" s="33" t="str">
        <x:v>Refund the $59.95 state fee, provide correction assistance, and waive any fee for the amended and correct filings.</x:v>
      </x:c>
      <x:c r="G18" s="34" t="n">
        <x:v>59.95</x:v>
      </x:c>
      <x:c r="H18" s="33" t="str">
        <x:v>1040.com / Drake Software</x:v>
      </x:c>
      <x:c r="I18" s="33" t="str">
        <x:v>235 East Palmer Street, Franklin, NC 28734</x:v>
      </x:c>
      <x:c r="J18" s="33" t="str">
        <x:v>(828) 524-8020</x:v>
      </x:c>
      <x:c r="K18" s="33" t="str">
        <x:v>support@1040.com</x:v>
      </x:c>
      <x:c r="L18" s="33" t="str">
        <x:v>Dakota Sim</x:v>
      </x:c>
      <x:c r="M18" s="33" t="str">
        <x:v>550 Demo Only Way, Raleigh, NC 27601</x:v>
      </x:c>
      <x:c r="N18" s="33" t="str">
        <x:v>(919) 555-0114</x:v>
      </x:c>
      <x:c r="O18" s="33" t="str">
        <x:v>dakota.sim@example.com</x:v>
      </x:c>
      <x:c r="P18" s="33" t="str">
        <x:v>Profile screenshots, filed return copy, payment receipt, state notices</x:v>
      </x:c>
      <x:c r="Q18" s="50" t="str">
        <x:v>YES</x:v>
      </x:c>
      <x:c r="R18" s="51" t="str">
        <x:v>NO</x:v>
      </x:c>
    </x:row>
    <x:row r="19" ht="76" customHeight="1">
      <x:c r="A19" s="48" t="str">
        <x:v>CW-TEST-015</x:v>
      </x:c>
      <x:c r="B19" s="49" t="str">
        <x:v>Tax software and filing</x:v>
      </x:c>
      <x:c r="C19" s="33" t="str">
        <x:v>TEST — Purchased desktop license will not activate</x:v>
      </x:c>
      <x:c r="D19" s="35" t="n">
        <x:v>46255</x:v>
      </x:c>
      <x:c r="E19" s="33" t="str">
        <x:v>Synthetic test scenario: The activation code for the purchased desktop product is rejected as already used, although it has only been entered on one computer. Reinstallation and the support steps did not resolve the lockout.</x:v>
      </x:c>
      <x:c r="F19" s="33" t="str">
        <x:v>Provide a working replacement license within two business days or refund the $84.95 purchase price.</x:v>
      </x:c>
      <x:c r="G19" s="34" t="n">
        <x:v>84.95</x:v>
      </x:c>
      <x:c r="H19" s="33" t="str">
        <x:v>TaxAct</x:v>
      </x:c>
      <x:c r="I19" s="33" t="str">
        <x:v>3200 Olympus Blvd, Suite 150, Dallas, TX 75019</x:v>
      </x:c>
      <x:c r="J19" s="33" t="str">
        <x:v>(319) 373-3600</x:v>
      </x:c>
      <x:c r="K19" s="33" t="str">
        <x:v>Professional@TaxActService.com</x:v>
      </x:c>
      <x:c r="L19" s="33" t="str">
        <x:v>Reese Staging</x:v>
      </x:c>
      <x:c r="M19" s="33" t="str">
        <x:v>660 Staging Blvd, Dallas, TX 75201</x:v>
      </x:c>
      <x:c r="N19" s="33" t="str">
        <x:v>(214) 555-0115</x:v>
      </x:c>
      <x:c r="O19" s="33" t="str">
        <x:v>reese.staging@example.com</x:v>
      </x:c>
      <x:c r="P19" s="33" t="str">
        <x:v>Purchase email, activation error screenshot, device details, support case</x:v>
      </x:c>
      <x:c r="Q19" s="50" t="str">
        <x:v>YES</x:v>
      </x:c>
      <x:c r="R19" s="51" t="str">
        <x:v>NO</x:v>
      </x:c>
    </x:row>
    <x:row r="20" ht="76" customHeight="1">
      <x:c r="A20" s="48" t="str">
        <x:v>CW-TEST-016</x:v>
      </x:c>
      <x:c r="B20" s="49" t="str">
        <x:v>Home services and marketplaces</x:v>
      </x:c>
      <x:c r="C20" s="33" t="str">
        <x:v>TEST — Warranty claim closed before repair was completed</x:v>
      </x:c>
      <x:c r="D20" s="35" t="n">
        <x:v>46226</x:v>
      </x:c>
      <x:c r="E20" s="33" t="str">
        <x:v>Synthetic test scenario: A contractor diagnosed the dishwasher and said a part had to be ordered, but no return visit was scheduled. The online claim was then marked completed even though the appliance still does not run.</x:v>
      </x:c>
      <x:c r="F20" s="33" t="str">
        <x:v>Reopen the claim, assign a provider who can schedule service within 48 hours, and waive any second $110.00 service fee.</x:v>
      </x:c>
      <x:c r="G20" s="34" t="n">
        <x:v>110</x:v>
      </x:c>
      <x:c r="H20" s="33" t="str">
        <x:v>Cinch Home Services</x:v>
      </x:c>
      <x:c r="I20" s="33" t="str">
        <x:v>4700 Exchange Ct, Suite 300, Boca Raton, FL 33431</x:v>
      </x:c>
      <x:c r="J20" s="33" t="str">
        <x:v>(800) 531-3466</x:v>
      </x:c>
      <x:c r="K20" s="33" t="str">
        <x:v>erelations@cinchhs.com</x:v>
      </x:c>
      <x:c r="L20" s="33" t="str">
        <x:v>Blair Dataset</x:v>
      </x:c>
      <x:c r="M20" s="33" t="str">
        <x:v>770 Sample Claim Ct, Boca Raton, FL 33432</x:v>
      </x:c>
      <x:c r="N20" s="33" t="str">
        <x:v>(561) 555-0116</x:v>
      </x:c>
      <x:c r="O20" s="33" t="str">
        <x:v>blair.dataset@example.com</x:v>
      </x:c>
      <x:c r="P20" s="33" t="str">
        <x:v>Claim timeline, contractor diagnosis, appliance video, call log</x:v>
      </x:c>
      <x:c r="Q20" s="50" t="str">
        <x:v>YES</x:v>
      </x:c>
      <x:c r="R20" s="51" t="str">
        <x:v>NO</x:v>
      </x:c>
    </x:row>
    <x:row r="21" ht="76" customHeight="1">
      <x:c r="A21" s="48" t="str">
        <x:v>CW-TEST-017</x:v>
      </x:c>
      <x:c r="B21" s="49" t="str">
        <x:v>Home services and marketplaces</x:v>
      </x:c>
      <x:c r="C21" s="33" t="str">
        <x:v>TEST — No-show plumber marked job complete</x:v>
      </x:c>
      <x:c r="D21" s="35" t="n">
        <x:v>46243</x:v>
      </x:c>
      <x:c r="E21" s="33" t="str">
        <x:v>Synthetic test scenario: The booked plumber did not arrive during the confirmed window and did not contact me. The job was later marked complete and my card was charged the quoted amount.</x:v>
      </x:c>
      <x:c r="F21" s="33" t="str">
        <x:v>Refund the $189.00 charge, remove the completed-job record, and document the no-show on the provider account.</x:v>
      </x:c>
      <x:c r="G21" s="34" t="n">
        <x:v>189</x:v>
      </x:c>
      <x:c r="H21" s="33" t="str">
        <x:v>Angi</x:v>
      </x:c>
      <x:c r="I21" s="33" t="str">
        <x:v>3815 River Crossing Pkwy, Suite 360, Indianapolis, IN 46240</x:v>
      </x:c>
      <x:c r="J21" s="33" t="str">
        <x:v>(888) 811-2644</x:v>
      </x:c>
      <x:c r="K21" s="33" t="str">
        <x:v>support@book.angi.com</x:v>
      </x:c>
      <x:c r="L21" s="33" t="str">
        <x:v>Emerson QA</x:v>
      </x:c>
      <x:c r="M21" s="33" t="str">
        <x:v>880 Placeholder Rd, Indianapolis, IN 46204</x:v>
      </x:c>
      <x:c r="N21" s="33" t="str">
        <x:v>(317) 555-0117</x:v>
      </x:c>
      <x:c r="O21" s="33" t="str">
        <x:v>emerson.qa@example.com</x:v>
      </x:c>
      <x:c r="P21" s="33" t="str">
        <x:v>Booking confirmation, call log, app status, card charge</x:v>
      </x:c>
      <x:c r="Q21" s="50" t="str">
        <x:v>YES</x:v>
      </x:c>
      <x:c r="R21" s="51" t="str">
        <x:v>NO</x:v>
      </x:c>
    </x:row>
    <x:row r="22" ht="76" customHeight="1">
      <x:c r="A22" s="48" t="str">
        <x:v>CW-TEST-018</x:v>
      </x:c>
      <x:c r="B22" s="49" t="str">
        <x:v>Home services and marketplaces</x:v>
      </x:c>
      <x:c r="C22" s="33" t="str">
        <x:v>TEST — Caregiver arrivals vary by more than two hours</x:v>
      </x:c>
      <x:c r="D22" s="35" t="n">
        <x:v>46210</x:v>
      </x:c>
      <x:c r="E22" s="33" t="str">
        <x:v>Synthetic test scenario: The scheduled caregiver has arrived more than two hours early or late on five visits without advance notice. The uncertainty is disrupting medication and meal routines, despite two requests for a stable window.</x:v>
      </x:c>
      <x:c r="F22" s="33" t="str">
        <x:v>Set a consistent 2:00 p.m. arrival window, require advance notice of changes, and assign a replacement caregiver if the schedule cannot be maintained.</x:v>
      </x:c>
      <x:c r="G22" s="34" t="n">
        <x:v>0</x:v>
      </x:c>
      <x:c r="H22" s="33" t="str">
        <x:v>Visiting Angels</x:v>
      </x:c>
      <x:c r="I22" s="33" t="str">
        <x:v>937 Haverford Road, Suite 200, Bryn Mawr, PA 19010</x:v>
      </x:c>
      <x:c r="J22" s="33" t="str">
        <x:v>(800) 365-4189</x:v>
      </x:c>
      <x:c r="K22" s="33" t="str">
        <x:v>contact@visitingangels.com</x:v>
      </x:c>
      <x:c r="L22" s="33" t="str">
        <x:v>Hayden Fixture</x:v>
      </x:c>
      <x:c r="M22" s="33" t="str">
        <x:v>990 Fiction Park Ave, Philadelphia, PA 19103</x:v>
      </x:c>
      <x:c r="N22" s="33" t="str">
        <x:v>(215) 555-0118</x:v>
      </x:c>
      <x:c r="O22" s="33" t="str">
        <x:v>hayden.fixture@example.com</x:v>
      </x:c>
      <x:c r="P22" s="33" t="str">
        <x:v>Visit log, care plan, text messages, prior scheduling requests</x:v>
      </x:c>
      <x:c r="Q22" s="50" t="str">
        <x:v>YES</x:v>
      </x:c>
      <x:c r="R22" s="51" t="str">
        <x:v>NO</x:v>
      </x:c>
    </x:row>
    <x:row r="23" ht="76" customHeight="1">
      <x:c r="A23" s="48" t="str">
        <x:v>CW-TEST-019</x:v>
      </x:c>
      <x:c r="B23" s="49" t="str">
        <x:v>Business brokerage</x:v>
      </x:c>
      <x:c r="C23" s="33" t="str">
        <x:v>TEST — Paid listing not launched for 30 days</x:v>
      </x:c>
      <x:c r="D23" s="35" t="n">
        <x:v>46205</x:v>
      </x:c>
      <x:c r="E23" s="33" t="str">
        <x:v>Synthetic test scenario: I paid the upfront marketing fee and supplied the requested financial package, but the business listing was still not published 30 days later. I have received no launch date or list of completed marketing activity.</x:v>
      </x:c>
      <x:c r="F23" s="33" t="str">
        <x:v>Publish the listing with a written marketing plan and launch date within five business days, or refund the $750.00 upfront fee.</x:v>
      </x:c>
      <x:c r="G23" s="34" t="n">
        <x:v>750</x:v>
      </x:c>
      <x:c r="H23" s="33" t="str">
        <x:v>Sunbelt Business Brokers Atlanta</x:v>
      </x:c>
      <x:c r="I23" s="33" t="str">
        <x:v>4360 Chamblee Dunwoody Rd, Suite 111, Atlanta, GA 30341</x:v>
      </x:c>
      <x:c r="J23" s="33" t="str">
        <x:v>(770) 936-9099</x:v>
      </x:c>
      <x:c r="K23" s="33" t="str">
        <x:v>info@sunbeltatlanta.com</x:v>
      </x:c>
      <x:c r="L23" s="33" t="str">
        <x:v>Marley Scenario</x:v>
      </x:c>
      <x:c r="M23" s="33" t="str">
        <x:v>111 Test Listing Ln, Atlanta, GA 30303</x:v>
      </x:c>
      <x:c r="N23" s="33" t="str">
        <x:v>(404) 555-0119</x:v>
      </x:c>
      <x:c r="O23" s="33" t="str">
        <x:v>marley.scenario@example.com</x:v>
      </x:c>
      <x:c r="P23" s="33" t="str">
        <x:v>Broker agreement, payment receipt, document-delivery email, listing search</x:v>
      </x:c>
      <x:c r="Q23" s="50" t="str">
        <x:v>YES</x:v>
      </x:c>
      <x:c r="R23" s="51" t="str">
        <x:v>NO</x:v>
      </x:c>
    </x:row>
    <x:row r="24" ht="76" customHeight="1">
      <x:c r="A24" s="48" t="str">
        <x:v>CW-TEST-020</x:v>
      </x:c>
      <x:c r="B24" s="49" t="str">
        <x:v>Business brokerage</x:v>
      </x:c>
      <x:c r="C24" s="33" t="str">
        <x:v>TEST — Unapproved asking-price reduction circulated</x:v>
      </x:c>
      <x:c r="D24" s="35" t="n">
        <x:v>46237</x:v>
      </x:c>
      <x:c r="E24" s="33" t="str">
        <x:v>Synthetic test scenario: A reduced asking price was included in a buyer summary even though I did not approve a price change. I learned about it only when a prospect referenced the lower figure.</x:v>
      </x:c>
      <x:c r="F24" s="33" t="str">
        <x:v>Restore the approved asking price, identify which prospects received the incorrect figure, and require written seller approval for future price changes.</x:v>
      </x:c>
      <x:c r="G24" s="34" t="n">
        <x:v>0</x:v>
      </x:c>
      <x:c r="H24" s="33" t="str">
        <x:v>First Choice Business Brokers Omaha</x:v>
      </x:c>
      <x:c r="I24" s="33" t="str">
        <x:v>1901 Howard St, Suite 234, Omaha, NE 68102</x:v>
      </x:c>
      <x:c r="J24" s="33" t="str">
        <x:v>(402) 230-7003</x:v>
      </x:c>
      <x:c r="K24" s="33" t="str">
        <x:v>aj.kohler@fcbb.com</x:v>
      </x:c>
      <x:c r="L24" s="33" t="str">
        <x:v>Skyler Mockup</x:v>
      </x:c>
      <x:c r="M24" s="33" t="str">
        <x:v>222 Mock Broker Way, Omaha, NE 68102</x:v>
      </x:c>
      <x:c r="N24" s="33" t="str">
        <x:v>(402) 555-0120</x:v>
      </x:c>
      <x:c r="O24" s="33" t="str">
        <x:v>skyler.mockup@example.com</x:v>
      </x:c>
      <x:c r="P24" s="33" t="str">
        <x:v>Signed listing agreement, buyer summary, prospect email</x:v>
      </x:c>
      <x:c r="Q24" s="50" t="str">
        <x:v>YES</x:v>
      </x:c>
      <x:c r="R24" s="51" t="str">
        <x:v>NO</x:v>
      </x:c>
    </x:row>
    <x:row r="25" ht="76" customHeight="1">
      <x:c r="A25" s="48" t="str">
        <x:v>CW-TEST-021</x:v>
      </x:c>
      <x:c r="B25" s="49" t="str">
        <x:v>Business brokerage</x:v>
      </x:c>
      <x:c r="C25" s="33" t="str">
        <x:v>TEST — Qualified buyer inquiry was not relayed promptly</x:v>
      </x:c>
      <x:c r="D25" s="35" t="n">
        <x:v>46222</x:v>
      </x:c>
      <x:c r="E25" s="33" t="str">
        <x:v>Synthetic test scenario: A qualified buyer submitted an inquiry, but I was not informed until 12 days later after the buyer followed up independently. The delay may have damaged the opportunity and conflicts with the promised communication cadence.</x:v>
      </x:c>
      <x:c r="F25" s="33" t="str">
        <x:v>Contact the buyer immediately, provide the complete inquiry and response log, and begin weekly written activity reports.</x:v>
      </x:c>
      <x:c r="G25" s="34" t="n">
        <x:v>0</x:v>
      </x:c>
      <x:c r="H25" s="33" t="str">
        <x:v>First Choice Business Brokers Nashville</x:v>
      </x:c>
      <x:c r="I25" s="33" t="str">
        <x:v>2550 Meridian Blvd, Franklin, TN 37067</x:v>
      </x:c>
      <x:c r="J25" s="33" t="str">
        <x:v>(615) 288-6886</x:v>
      </x:c>
      <x:c r="K25" s="33" t="str">
        <x:v>russell.carriere@fcbb.com</x:v>
      </x:c>
      <x:c r="L25" s="33" t="str">
        <x:v>Jamie Preview</x:v>
      </x:c>
      <x:c r="M25" s="33" t="str">
        <x:v>333 Demo Deal St, Nashville, TN 37201</x:v>
      </x:c>
      <x:c r="N25" s="33" t="str">
        <x:v>(615) 555-0121</x:v>
      </x:c>
      <x:c r="O25" s="33" t="str">
        <x:v>jamie.preview@example.com</x:v>
      </x:c>
      <x:c r="P25" s="33" t="str">
        <x:v>Buyer email, broker correspondence, engagement agreement</x:v>
      </x:c>
      <x:c r="Q25" s="50" t="str">
        <x:v>YES</x:v>
      </x:c>
      <x:c r="R25" s="51" t="str">
        <x:v>NO</x:v>
      </x:c>
    </x:row>
    <x:row r="26" ht="76" customHeight="1">
      <x:c r="A26" s="48" t="str">
        <x:v>CW-TEST-022</x:v>
      </x:c>
      <x:c r="B26" s="49" t="str">
        <x:v>Outdoor apparel and equipment</x:v>
      </x:c>
      <x:c r="C26" s="33" t="str">
        <x:v>TEST — Warranty replacement denied without receipt</x:v>
      </x:c>
      <x:c r="D26" s="35" t="n">
        <x:v>46250</x:v>
      </x:c>
      <x:c r="E26" s="33" t="str">
        <x:v>Synthetic test scenario: Two pairs of socks developed holes at the heel after limited hiking use. My warranty submission included photos and product markings, but it was denied solely because the original gift receipt was unavailable.</x:v>
      </x:c>
      <x:c r="F26" s="33" t="str">
        <x:v>Reconsider the claim, replace the two pairs or issue a $48.00 product credit, and explain what alternate proof of ownership is accepted.</x:v>
      </x:c>
      <x:c r="G26" s="34" t="n">
        <x:v>48</x:v>
      </x:c>
      <x:c r="H26" s="33" t="str">
        <x:v>Darn Tough Vermont</x:v>
      </x:c>
      <x:c r="I26" s="33" t="str">
        <x:v>364 Whetstone Dr, Northfield, VT 05663</x:v>
      </x:c>
      <x:c r="J26" s="33" t="str">
        <x:v>(877) 327-6883</x:v>
      </x:c>
      <x:c r="K26" s="33" t="str">
        <x:v>support@darntough.com</x:v>
      </x:c>
      <x:c r="L26" s="33" t="str">
        <x:v>Devon Seed</x:v>
      </x:c>
      <x:c r="M26" s="33" t="str">
        <x:v>444 Warranty Test Rd, Burlington, VT 05401</x:v>
      </x:c>
      <x:c r="N26" s="33" t="str">
        <x:v>(802) 555-0122</x:v>
      </x:c>
      <x:c r="O26" s="33" t="str">
        <x:v>devon.seed@example.com</x:v>
      </x:c>
      <x:c r="P26" s="33" t="str">
        <x:v>Product photos, warranty submission, denial email, packaging code</x:v>
      </x:c>
      <x:c r="Q26" s="50" t="str">
        <x:v>YES</x:v>
      </x:c>
      <x:c r="R26" s="51" t="str">
        <x:v>NO</x:v>
      </x:c>
    </x:row>
    <x:row r="27" ht="76" customHeight="1">
      <x:c r="A27" s="48" t="str">
        <x:v>CW-TEST-023</x:v>
      </x:c>
      <x:c r="B27" s="49" t="str">
        <x:v>Outdoor apparel and equipment</x:v>
      </x:c>
      <x:c r="C27" s="33" t="str">
        <x:v>TEST — Jacket zipper failed after six weeks</x:v>
      </x:c>
      <x:c r="D27" s="35" t="n">
        <x:v>46245</x:v>
      </x:c>
      <x:c r="E27" s="33" t="str">
        <x:v>Synthetic test scenario: The main zipper teeth separated after six weeks of ordinary work use. The return was rejected because the jacket had been washed once according to the care label, without addressing the failed hardware.</x:v>
      </x:c>
      <x:c r="F27" s="33" t="str">
        <x:v>Provide a prepaid return label and replace the jacket or issue a full $129.99 refund.</x:v>
      </x:c>
      <x:c r="G27" s="34" t="n">
        <x:v>129.99</x:v>
      </x:c>
      <x:c r="H27" s="33" t="str">
        <x:v>Carhartt</x:v>
      </x:c>
      <x:c r="I27" s="33" t="str">
        <x:v>5750 Mercury Dr, Dearborn, MI 48126</x:v>
      </x:c>
      <x:c r="J27" s="33" t="str">
        <x:v>(800) 833-3118</x:v>
      </x:c>
      <x:c r="K27" s="33" t="str">
        <x:v>Just_Ask_Us@Carhartt.com</x:v>
      </x:c>
      <x:c r="L27" s="33" t="str">
        <x:v>Kendall Trial</x:v>
      </x:c>
      <x:c r="M27" s="33" t="str">
        <x:v>555 Sample Jacket Ave, Detroit, MI 48226</x:v>
      </x:c>
      <x:c r="N27" s="33" t="str">
        <x:v>(313) 555-0123</x:v>
      </x:c>
      <x:c r="O27" s="33" t="str">
        <x:v>kendall.trial@example.com</x:v>
      </x:c>
      <x:c r="P27" s="33" t="str">
        <x:v>Receipt, zipper photos, care-label photo, return correspondence</x:v>
      </x:c>
      <x:c r="Q27" s="50" t="str">
        <x:v>YES</x:v>
      </x:c>
      <x:c r="R27" s="51" t="str">
        <x:v>NO</x:v>
      </x:c>
    </x:row>
    <x:row r="28" ht="76" customHeight="1">
      <x:c r="A28" s="48" t="str">
        <x:v>CW-TEST-024</x:v>
      </x:c>
      <x:c r="B28" s="49" t="str">
        <x:v>Outdoor apparel and equipment</x:v>
      </x:c>
      <x:c r="C28" s="33" t="str">
        <x:v>TEST — Backpack warranty request unanswered for 21 days</x:v>
      </x:c>
      <x:c r="D28" s="35" t="n">
        <x:v>46240</x:v>
      </x:c>
      <x:c r="E28" s="33" t="str">
        <x:v>Synthetic test scenario: The hip-belt seam opened during the first overnight trip. I submitted the warranty form with photos and proof of purchase 21 days ago but have received no case update beyond the automated acknowledgment.</x:v>
      </x:c>
      <x:c r="F28" s="33" t="str">
        <x:v>Provide a case status within five business days and repair or replace the $279.95 backpack under the applicable warranty.</x:v>
      </x:c>
      <x:c r="G28" s="34" t="n">
        <x:v>279.95</x:v>
      </x:c>
      <x:c r="H28" s="33" t="str">
        <x:v>Osprey Packs</x:v>
      </x:c>
      <x:c r="I28" s="33" t="str">
        <x:v>115 Progress Circle, Cortez, CO 81321</x:v>
      </x:c>
      <x:c r="J28" s="33" t="str">
        <x:v>(866) 284-7830</x:v>
      </x:c>
      <x:c r="K28" s="33" t="str">
        <x:v>customer.service@osprey.com</x:v>
      </x:c>
      <x:c r="L28" s="33" t="str">
        <x:v>Robin Example</x:v>
      </x:c>
      <x:c r="M28" s="33" t="str">
        <x:v>666 Trail Pack Pl, Denver, CO 80202</x:v>
      </x:c>
      <x:c r="N28" s="33" t="str">
        <x:v>(720) 555-0124</x:v>
      </x:c>
      <x:c r="O28" s="33" t="str">
        <x:v>robin.example@example.com</x:v>
      </x:c>
      <x:c r="P28" s="33" t="str">
        <x:v>Receipt, seam photos, serial tag, warranty acknowledgment</x:v>
      </x:c>
      <x:c r="Q28" s="50" t="str">
        <x:v>YES</x:v>
      </x:c>
      <x:c r="R28" s="51" t="str">
        <x:v>NO</x:v>
      </x:c>
    </x:row>
  </x:sheetData>
  <x:mergeCells>
    <x:mergeCell ref="A1:R1"/>
    <x:mergeCell ref="A2:R2"/>
  </x:mergeCells>
  <x:dataValidations count="3">
    <x:dataValidation type="list" sqref="B5:B104">
      <x:formula1>"Travel and transport,Retail and ecommerce,Electronics and specialty retail,Tutoring and music education,Tax software and filing,Home services and marketplaces,Business brokerage,Outdoor apparel and equipment"</x:formula1>
    </x:dataValidation>
    <x:dataValidation type="list" sqref="Q5:Q104">
      <x:formula1>"YES"</x:formula1>
    </x:dataValidation>
    <x:dataValidation type="list" sqref="R5:R104">
      <x:formula1>"NO"</x:formula1>
    </x:dataValidation>
  </x:dataValidations>
  <x:pageMargins left="0.7" right="0.7" top="0.75" bottom="0.75" header="0.3" footer="0.3"/>
  <x:tableParts count="1">
    <x:tablePart xmlns:r="http://schemas.openxmlformats.org/officeDocument/2006/relationships" r:id="Rf5c35666b9b546b8"/>
  </x:tableParts>
</x:worksheet>
</file>

<file path=xl/worksheets/sheet3.xml><?xml version="1.0" encoding="utf-8"?>
<x:worksheet xmlns:x="http://schemas.openxmlformats.org/spreadsheetml/2006/main">
  <x:sheetFormatPr defaultRowHeight="15"/>
  <x:cols>
    <x:col min="1" max="1" width="34" hidden="0" customWidth="1"/>
    <x:col min="2" max="2" width="29" hidden="0" customWidth="1"/>
    <x:col min="3" max="3" width="43" hidden="0" customWidth="1"/>
    <x:col min="4" max="4" width="18" hidden="0" customWidth="1"/>
    <x:col min="5" max="5" width="34" hidden="0" customWidth="1"/>
    <x:col min="6" max="6" width="30" hidden="0" customWidth="1"/>
    <x:col min="7" max="7" width="52" hidden="0" customWidth="1"/>
    <x:col min="8" max="8" width="52" hidden="0" customWidth="1"/>
    <x:col min="9" max="9" width="18" hidden="0" customWidth="1"/>
  </x:cols>
  <x:sheetData>
    <x:row r="1" ht="30" customHeight="1">
      <x:c r="A1" s="29" t="str">
        <x:v>Public Business Contact Directory</x:v>
      </x:c>
      <x:c r="B1" s="29"/>
      <x:c r="C1" s="29"/>
      <x:c r="D1" s="29"/>
      <x:c r="E1" s="29"/>
      <x:c r="F1" s="29"/>
      <x:c r="G1" s="29"/>
      <x:c r="H1" s="29"/>
      <x:c r="I1" s="29"/>
    </x:row>
    <x:row r="2" ht="36" customHeight="1">
      <x:c r="A2" s="30" t="str">
        <x:v>Public contact details checked on 2026-09-03. Channels vary by company; review Contact Type and source URLs before using this directory outside a test environment.</x:v>
      </x:c>
      <x:c r="B2" s="30"/>
      <x:c r="C2" s="30"/>
      <x:c r="D2" s="30"/>
      <x:c r="E2" s="30"/>
      <x:c r="F2" s="30"/>
      <x:c r="G2" s="30"/>
      <x:c r="H2" s="30"/>
      <x:c r="I2" s="30"/>
    </x:row>
    <x:row r="3">
      <x:c r="A3" s="31"/>
      <x:c r="B3" s="31"/>
      <x:c r="C3" s="31"/>
      <x:c r="D3" s="31"/>
      <x:c r="E3" s="31"/>
      <x:c r="F3" s="31"/>
      <x:c r="G3" s="31"/>
      <x:c r="H3" s="31"/>
      <x:c r="I3" s="31"/>
    </x:row>
    <x:row r="4" ht="34" customHeight="1">
      <x:c r="A4" s="36" t="str">
        <x:v>Business Name</x:v>
      </x:c>
      <x:c r="B4" s="36" t="str">
        <x:v>Category</x:v>
      </x:c>
      <x:c r="C4" s="36" t="str">
        <x:v>Business Address</x:v>
      </x:c>
      <x:c r="D4" s="36" t="str">
        <x:v>Business Phone</x:v>
      </x:c>
      <x:c r="E4" s="36" t="str">
        <x:v>Business Email</x:v>
      </x:c>
      <x:c r="F4" s="36" t="str">
        <x:v>Contact Type</x:v>
      </x:c>
      <x:c r="G4" s="36" t="str">
        <x:v>Source URL 1</x:v>
      </x:c>
      <x:c r="H4" s="36" t="str">
        <x:v>Source URL 2</x:v>
      </x:c>
      <x:c r="I4" s="36" t="str">
        <x:v>Checked On</x:v>
      </x:c>
    </x:row>
    <x:row r="5" ht="62" customHeight="1">
      <x:c r="A5" s="48" t="str">
        <x:v>SIXT rent a car</x:v>
      </x:c>
      <x:c r="B5" s="49" t="str">
        <x:v>Travel and transport</x:v>
      </x:c>
      <x:c r="C5" s="33" t="str">
        <x:v>1501 NW 49th Street, Suite 100, Fort Lauderdale, FL 33309</x:v>
      </x:c>
      <x:c r="D5" s="33" t="str">
        <x:v>(888) 749-8227</x:v>
      </x:c>
      <x:c r="E5" s="33" t="str">
        <x:v>service@sixt.com</x:v>
      </x:c>
      <x:c r="F5" s="33" t="str">
        <x:v>Customer service</x:v>
      </x:c>
      <x:c r="G5" s="33" t="str">
        <x:v>https://about.sixt.com/en/</x:v>
      </x:c>
      <x:c r="H5" s="33" t="str">
        <x:v>https://www.sixt.com/magazine/news/extremeweather/</x:v>
      </x:c>
      <x:c r="I5" s="35" t="n">
        <x:v>46268</x:v>
      </x:c>
    </x:row>
    <x:row r="6" ht="62" customHeight="1">
      <x:c r="A6" s="48" t="str">
        <x:v>FlixBus</x:v>
      </x:c>
      <x:c r="B6" s="49" t="str">
        <x:v>Travel and transport</x:v>
      </x:c>
      <x:c r="C6" s="33" t="str">
        <x:v>12575 Beatrice St, Los Angeles, CA 90066</x:v>
      </x:c>
      <x:c r="D6" s="33" t="str">
        <x:v>(213) 675-1623</x:v>
      </x:c>
      <x:c r="E6" s="33" t="str">
        <x:v>service@flixbus.com</x:v>
      </x:c>
      <x:c r="F6" s="33" t="str">
        <x:v>Customer service / corporate</x:v>
      </x:c>
      <x:c r="G6" s="33" t="str">
        <x:v>https://global.flixbus.com/terms-and-conditions-of-carriage</x:v>
      </x:c>
      <x:c r="H6" s="33" t="str">
        <x:v>https://www.flixbus.com/privacy-policy</x:v>
      </x:c>
      <x:c r="I6" s="35" t="n">
        <x:v>46268</x:v>
      </x:c>
    </x:row>
    <x:row r="7" ht="62" customHeight="1">
      <x:c r="A7" s="48" t="str">
        <x:v>Carnival Cruise Line</x:v>
      </x:c>
      <x:c r="B7" s="49" t="str">
        <x:v>Travel and transport</x:v>
      </x:c>
      <x:c r="C7" s="33" t="str">
        <x:v>3655 NW 87th Ave, Miami, FL 33178</x:v>
      </x:c>
      <x:c r="D7" s="33" t="str">
        <x:v>(800) 764-7419</x:v>
      </x:c>
      <x:c r="E7" s="33" t="str">
        <x:v>guestcare@carnival.com</x:v>
      </x:c>
      <x:c r="F7" s="33" t="str">
        <x:v>Guest care</x:v>
      </x:c>
      <x:c r="G7" s="33" t="str">
        <x:v>https://www.carnival.com/about-carnival/about-us</x:v>
      </x:c>
      <x:c r="H7" s="33" t="str">
        <x:v>https://help.carnival.com/app/answers/list</x:v>
      </x:c>
      <x:c r="I7" s="35" t="n">
        <x:v>46268</x:v>
      </x:c>
    </x:row>
    <x:row r="8" ht="62" customHeight="1">
      <x:c r="A8" s="48" t="str">
        <x:v>Zappos</x:v>
      </x:c>
      <x:c r="B8" s="49" t="str">
        <x:v>Retail and ecommerce</x:v>
      </x:c>
      <x:c r="C8" s="33" t="str">
        <x:v>400 Stewart Ave, Las Vegas, NV 89101</x:v>
      </x:c>
      <x:c r="D8" s="33" t="str">
        <x:v>(800) 927-7671</x:v>
      </x:c>
      <x:c r="E8" s="33" t="str">
        <x:v>cs@support.zappos.com</x:v>
      </x:c>
      <x:c r="F8" s="33" t="str">
        <x:v>Customer loyalty team</x:v>
      </x:c>
      <x:c r="G8" s="33" t="str">
        <x:v>https://www.zappos.com/c/contact-us</x:v>
      </x:c>
      <x:c r="H8" s="33" t="str">
        <x:v>https://www.zappos.com/general-questions</x:v>
      </x:c>
      <x:c r="I8" s="35" t="n">
        <x:v>46268</x:v>
      </x:c>
    </x:row>
    <x:row r="9" ht="62" customHeight="1">
      <x:c r="A9" s="48" t="str">
        <x:v>Chewy</x:v>
      </x:c>
      <x:c r="B9" s="49" t="str">
        <x:v>Retail and ecommerce</x:v>
      </x:c>
      <x:c r="C9" s="33" t="str">
        <x:v>7700 W Sunrise Blvd, Plantation, FL 33322</x:v>
      </x:c>
      <x:c r="D9" s="33" t="str">
        <x:v>(800) 672-4399</x:v>
      </x:c>
      <x:c r="E9" s="33" t="str">
        <x:v>service@chewy.com</x:v>
      </x:c>
      <x:c r="F9" s="33" t="str">
        <x:v>Customer service</x:v>
      </x:c>
      <x:c r="G9" s="33" t="str">
        <x:v>https://www.chewy.com/app/content/privacy</x:v>
      </x:c>
      <x:c r="H9" s="33" t="str">
        <x:v>https://www.chewy.com/app/content/contact</x:v>
      </x:c>
      <x:c r="I9" s="35" t="n">
        <x:v>46268</x:v>
      </x:c>
    </x:row>
    <x:row r="10" ht="62" customHeight="1">
      <x:c r="A10" s="48" t="str">
        <x:v>B&amp;H Photo Video</x:v>
      </x:c>
      <x:c r="B10" s="49" t="str">
        <x:v>Retail and ecommerce</x:v>
      </x:c>
      <x:c r="C10" s="33" t="str">
        <x:v>420 9th Ave, New York, NY 10001</x:v>
      </x:c>
      <x:c r="D10" s="33" t="str">
        <x:v>(800) 221-5743</x:v>
      </x:c>
      <x:c r="E10" s="33" t="str">
        <x:v>cs@bhphoto.com</x:v>
      </x:c>
      <x:c r="F10" s="33" t="str">
        <x:v>Customer service</x:v>
      </x:c>
      <x:c r="G10" s="33" t="str">
        <x:v>https://www.bhphotovideo.com/find/HelpCenter/helpcenter.jsp</x:v>
      </x:c>
      <x:c r="H10" s="33" t="str">
        <x:v>https://www.bhphotovideo.com/find/HelpCenter/Payments.jsp</x:v>
      </x:c>
      <x:c r="I10" s="35" t="n">
        <x:v>46268</x:v>
      </x:c>
    </x:row>
    <x:row r="11" ht="62" customHeight="1">
      <x:c r="A11" s="48" t="str">
        <x:v>Adorama Brands</x:v>
      </x:c>
      <x:c r="B11" s="49" t="str">
        <x:v>Electronics and specialty retail</x:v>
      </x:c>
      <x:c r="C11" s="33" t="str">
        <x:v>42 W 18th St, New York, NY 10011</x:v>
      </x:c>
      <x:c r="D11" s="33" t="str">
        <x:v>(212) 647-9300</x:v>
      </x:c>
      <x:c r="E11" s="33" t="str">
        <x:v>brands@adorama.com</x:v>
      </x:c>
      <x:c r="F11" s="33" t="str">
        <x:v>In-house brand technical assistance</x:v>
      </x:c>
      <x:c r="G11" s="33" t="str">
        <x:v>https://www.adorama.com/g/in_house_brands_technical_assistance</x:v>
      </x:c>
      <x:c r="H11" s="33" t="str"/>
      <x:c r="I11" s="35" t="n">
        <x:v>46268</x:v>
      </x:c>
    </x:row>
    <x:row r="12" ht="62" customHeight="1">
      <x:c r="A12" s="48" t="str">
        <x:v>Newegg</x:v>
      </x:c>
      <x:c r="B12" s="49" t="str">
        <x:v>Electronics and specialty retail</x:v>
      </x:c>
      <x:c r="C12" s="33" t="str">
        <x:v>17560 Rowland St, City of Industry, CA 91748</x:v>
      </x:c>
      <x:c r="D12" s="33" t="str">
        <x:v>(800) 390-1119</x:v>
      </x:c>
      <x:c r="E12" s="33" t="str">
        <x:v>wecare@service.newegg.com</x:v>
      </x:c>
      <x:c r="F12" s="33" t="str">
        <x:v>Customer care / complaint channel</x:v>
      </x:c>
      <x:c r="G12" s="33" t="str">
        <x:v>https://kb.newegg.com/knowledge-base/how-to-file-a-complaint/</x:v>
      </x:c>
      <x:c r="H12" s="33" t="str">
        <x:v>https://kb.newegg.com/knowledge-base/terms-and-conditions-australia/</x:v>
      </x:c>
      <x:c r="I12" s="35" t="n">
        <x:v>46268</x:v>
      </x:c>
    </x:row>
    <x:row r="13" ht="62" customHeight="1">
      <x:c r="A13" s="48" t="str">
        <x:v>Sweetwater Academy</x:v>
      </x:c>
      <x:c r="B13" s="49" t="str">
        <x:v>Electronics and specialty retail</x:v>
      </x:c>
      <x:c r="C13" s="33" t="str">
        <x:v>5501 US Hwy 30 W, Fort Wayne, IN 46818</x:v>
      </x:c>
      <x:c r="D13" s="33" t="str">
        <x:v>(260) 407-3833</x:v>
      </x:c>
      <x:c r="E13" s="33" t="str">
        <x:v>academy@sweetwater.com</x:v>
      </x:c>
      <x:c r="F13" s="33" t="str">
        <x:v>Academy support</x:v>
      </x:c>
      <x:c r="G13" s="33" t="str">
        <x:v>https://academy.sweetwater.com/</x:v>
      </x:c>
      <x:c r="H13" s="33" t="str">
        <x:v>https://academy.sweetwater.com/events/</x:v>
      </x:c>
      <x:c r="I13" s="35" t="n">
        <x:v>46268</x:v>
      </x:c>
    </x:row>
    <x:row r="14" ht="62" customHeight="1">
      <x:c r="A14" s="48" t="str">
        <x:v>Wyzant</x:v>
      </x:c>
      <x:c r="B14" s="49" t="str">
        <x:v>Tutoring and music education</x:v>
      </x:c>
      <x:c r="C14" s="33" t="str">
        <x:v>777 Mariners Island Blvd, Suite 600, San Mateo, CA 94404</x:v>
      </x:c>
      <x:c r="D14" s="33" t="str">
        <x:v>(312) 646-6365</x:v>
      </x:c>
      <x:c r="E14" s="33" t="str">
        <x:v>support@wyzant.com</x:v>
      </x:c>
      <x:c r="F14" s="33" t="str">
        <x:v>Support</x:v>
      </x:c>
      <x:c r="G14" s="33" t="str">
        <x:v>https://support.wyzant.com/policies-and-contact-us/contact-us/</x:v>
      </x:c>
      <x:c r="H14" s="33" t="str">
        <x:v>https://support.wyzant.com/students-parents/student-billing/student-payment-policies/</x:v>
      </x:c>
      <x:c r="I14" s="35" t="n">
        <x:v>46268</x:v>
      </x:c>
    </x:row>
    <x:row r="15" ht="62" customHeight="1">
      <x:c r="A15" s="48" t="str">
        <x:v>Varsity Tutors</x:v>
      </x:c>
      <x:c r="B15" s="49" t="str">
        <x:v>Tutoring and music education</x:v>
      </x:c>
      <x:c r="C15" s="33" t="str">
        <x:v>8001 Forsyth Blvd, Suite 1050, St. Louis, MO 63105</x:v>
      </x:c>
      <x:c r="D15" s="33" t="str">
        <x:v>(800) 803-4058</x:v>
      </x:c>
      <x:c r="E15" s="33" t="str">
        <x:v>help@varsitytutors.com</x:v>
      </x:c>
      <x:c r="F15" s="33" t="str">
        <x:v>Learner help</x:v>
      </x:c>
      <x:c r="G15" s="33" t="str">
        <x:v>https://www.varsitytutors.com/brighthorizons</x:v>
      </x:c>
      <x:c r="H15" s="33" t="str">
        <x:v>https://www.varsitytutors.com/terms-of-use</x:v>
      </x:c>
      <x:c r="I15" s="35" t="n">
        <x:v>46268</x:v>
      </x:c>
    </x:row>
    <x:row r="16" ht="62" customHeight="1">
      <x:c r="A16" s="48" t="str">
        <x:v>School of Rock West Hartford</x:v>
      </x:c>
      <x:c r="B16" s="49" t="str">
        <x:v>Tutoring and music education</x:v>
      </x:c>
      <x:c r="C16" s="33" t="str">
        <x:v>20 Isham Rd, 2nd Floor, West Hartford, CT 06107</x:v>
      </x:c>
      <x:c r="D16" s="33" t="str">
        <x:v>(860) 973-7625</x:v>
      </x:c>
      <x:c r="E16" s="33" t="str">
        <x:v>westhartford@schoolofrock.com</x:v>
      </x:c>
      <x:c r="F16" s="33" t="str">
        <x:v>Local school contact</x:v>
      </x:c>
      <x:c r="G16" s="33" t="str">
        <x:v>https://www.schoolofrock.com/locations/westhartford</x:v>
      </x:c>
      <x:c r="H16" s="33" t="str"/>
      <x:c r="I16" s="35" t="n">
        <x:v>46268</x:v>
      </x:c>
    </x:row>
    <x:row r="17" ht="62" customHeight="1">
      <x:c r="A17" s="48" t="str">
        <x:v>TaxSlayer</x:v>
      </x:c>
      <x:c r="B17" s="49" t="str">
        <x:v>Tax software and filing</x:v>
      </x:c>
      <x:c r="C17" s="33" t="str">
        <x:v>945 Broad Street, Augusta, GA 30901</x:v>
      </x:c>
      <x:c r="D17" s="33" t="str">
        <x:v>(706) 922-6741</x:v>
      </x:c>
      <x:c r="E17" s="33" t="str">
        <x:v>support@taxslayer.com</x:v>
      </x:c>
      <x:c r="F17" s="33" t="str">
        <x:v>Customer support</x:v>
      </x:c>
      <x:c r="G17" s="33" t="str">
        <x:v>https://www.taxslayer.com/taxslayer-history/</x:v>
      </x:c>
      <x:c r="H17" s="33" t="str">
        <x:v>https://www.taxslayer.com/policies/privacy/</x:v>
      </x:c>
      <x:c r="I17" s="35" t="n">
        <x:v>46268</x:v>
      </x:c>
    </x:row>
    <x:row r="18" ht="62" customHeight="1">
      <x:c r="A18" s="48" t="str">
        <x:v>1040.com / Drake Software</x:v>
      </x:c>
      <x:c r="B18" s="49" t="str">
        <x:v>Tax software and filing</x:v>
      </x:c>
      <x:c r="C18" s="33" t="str">
        <x:v>235 East Palmer Street, Franklin, NC 28734</x:v>
      </x:c>
      <x:c r="D18" s="33" t="str">
        <x:v>(828) 524-8020</x:v>
      </x:c>
      <x:c r="E18" s="33" t="str">
        <x:v>support@1040.com</x:v>
      </x:c>
      <x:c r="F18" s="33" t="str">
        <x:v>Product support</x:v>
      </x:c>
      <x:c r="G18" s="33" t="str">
        <x:v>https://www.1040.com/terms-of-service</x:v>
      </x:c>
      <x:c r="H18" s="33" t="str">
        <x:v>https://www.irs.gov/e-file-providers/tax-year-2022-exempt-organizations-modernized-e-file-mef-providers-form-990-pf</x:v>
      </x:c>
      <x:c r="I18" s="35" t="n">
        <x:v>46268</x:v>
      </x:c>
    </x:row>
    <x:row r="19" ht="62" customHeight="1">
      <x:c r="A19" s="48" t="str">
        <x:v>TaxAct</x:v>
      </x:c>
      <x:c r="B19" s="49" t="str">
        <x:v>Tax software and filing</x:v>
      </x:c>
      <x:c r="C19" s="33" t="str">
        <x:v>3200 Olympus Blvd, Suite 150, Dallas, TX 75019</x:v>
      </x:c>
      <x:c r="D19" s="33" t="str">
        <x:v>(319) 373-3600</x:v>
      </x:c>
      <x:c r="E19" s="33" t="str">
        <x:v>Professional@TaxActService.com</x:v>
      </x:c>
      <x:c r="F19" s="33" t="str">
        <x:v>Professional support</x:v>
      </x:c>
      <x:c r="G19" s="33" t="str">
        <x:v>https://www.taxact.com/support/request</x:v>
      </x:c>
      <x:c r="H19" s="33" t="str">
        <x:v>https://www.taxact.com/press/contact</x:v>
      </x:c>
      <x:c r="I19" s="35" t="n">
        <x:v>46268</x:v>
      </x:c>
    </x:row>
    <x:row r="20" ht="62" customHeight="1">
      <x:c r="A20" s="48" t="str">
        <x:v>Cinch Home Services</x:v>
      </x:c>
      <x:c r="B20" s="49" t="str">
        <x:v>Home services and marketplaces</x:v>
      </x:c>
      <x:c r="C20" s="33" t="str">
        <x:v>4700 Exchange Ct, Suite 300, Boca Raton, FL 33431</x:v>
      </x:c>
      <x:c r="D20" s="33" t="str">
        <x:v>(800) 531-3466</x:v>
      </x:c>
      <x:c r="E20" s="33" t="str">
        <x:v>erelations@cinchhs.com</x:v>
      </x:c>
      <x:c r="F20" s="33" t="str">
        <x:v>Customer relations</x:v>
      </x:c>
      <x:c r="G20" s="33" t="str">
        <x:v>https://enroll.cinchhomeservices.com/privacy-policy</x:v>
      </x:c>
      <x:c r="H20" s="33" t="str">
        <x:v>https://www.cinchhomeservices.com/terms-of-use</x:v>
      </x:c>
      <x:c r="I20" s="35" t="n">
        <x:v>46268</x:v>
      </x:c>
    </x:row>
    <x:row r="21" ht="62" customHeight="1">
      <x:c r="A21" s="48" t="str">
        <x:v>Angi</x:v>
      </x:c>
      <x:c r="B21" s="49" t="str">
        <x:v>Home services and marketplaces</x:v>
      </x:c>
      <x:c r="C21" s="33" t="str">
        <x:v>3815 River Crossing Pkwy, Suite 360, Indianapolis, IN 46240</x:v>
      </x:c>
      <x:c r="D21" s="33" t="str">
        <x:v>(888) 811-2644</x:v>
      </x:c>
      <x:c r="E21" s="33" t="str">
        <x:v>support@book.angi.com</x:v>
      </x:c>
      <x:c r="F21" s="33" t="str">
        <x:v>Booking support</x:v>
      </x:c>
      <x:c r="G21" s="33" t="str">
        <x:v>https://www.angi.com/landing/contact-us</x:v>
      </x:c>
      <x:c r="H21" s="33" t="str">
        <x:v>https://support.servicepros.angi.com/angiprosupport/s/article/How-can-pros-contact-Angi-Services--General</x:v>
      </x:c>
      <x:c r="I21" s="35" t="n">
        <x:v>46268</x:v>
      </x:c>
    </x:row>
    <x:row r="22" ht="62" customHeight="1">
      <x:c r="A22" s="48" t="str">
        <x:v>Visiting Angels</x:v>
      </x:c>
      <x:c r="B22" s="49" t="str">
        <x:v>Home services and marketplaces</x:v>
      </x:c>
      <x:c r="C22" s="33" t="str">
        <x:v>937 Haverford Road, Suite 200, Bryn Mawr, PA 19010</x:v>
      </x:c>
      <x:c r="D22" s="33" t="str">
        <x:v>(800) 365-4189</x:v>
      </x:c>
      <x:c r="E22" s="33" t="str">
        <x:v>contact@visitingangels.com</x:v>
      </x:c>
      <x:c r="F22" s="33" t="str">
        <x:v>Corporate contact</x:v>
      </x:c>
      <x:c r="G22" s="33" t="str">
        <x:v>https://www.visitingangels.com/contact-us</x:v>
      </x:c>
      <x:c r="H22" s="33" t="str">
        <x:v>https://www.visitingangels.com/spokane/gdpr</x:v>
      </x:c>
      <x:c r="I22" s="35" t="n">
        <x:v>46268</x:v>
      </x:c>
    </x:row>
    <x:row r="23" ht="62" customHeight="1">
      <x:c r="A23" s="48" t="str">
        <x:v>Sunbelt Business Brokers Atlanta</x:v>
      </x:c>
      <x:c r="B23" s="49" t="str">
        <x:v>Business brokerage</x:v>
      </x:c>
      <x:c r="C23" s="33" t="str">
        <x:v>4360 Chamblee Dunwoody Rd, Suite 111, Atlanta, GA 30341</x:v>
      </x:c>
      <x:c r="D23" s="33" t="str">
        <x:v>(770) 936-9099</x:v>
      </x:c>
      <x:c r="E23" s="33" t="str">
        <x:v>info@sunbeltatlanta.com</x:v>
      </x:c>
      <x:c r="F23" s="33" t="str">
        <x:v>Office contact</x:v>
      </x:c>
      <x:c r="G23" s="33" t="str">
        <x:v>https://www.sunbeltatlanta.com/contact-us</x:v>
      </x:c>
      <x:c r="H23" s="33" t="str"/>
      <x:c r="I23" s="35" t="n">
        <x:v>46268</x:v>
      </x:c>
    </x:row>
    <x:row r="24" ht="62" customHeight="1">
      <x:c r="A24" s="48" t="str">
        <x:v>First Choice Business Brokers Omaha</x:v>
      </x:c>
      <x:c r="B24" s="49" t="str">
        <x:v>Business brokerage</x:v>
      </x:c>
      <x:c r="C24" s="33" t="str">
        <x:v>1901 Howard St, Suite 234, Omaha, NE 68102</x:v>
      </x:c>
      <x:c r="D24" s="33" t="str">
        <x:v>(402) 230-7003</x:v>
      </x:c>
      <x:c r="E24" s="33" t="str">
        <x:v>aj.kohler@fcbb.com</x:v>
      </x:c>
      <x:c r="F24" s="33" t="str">
        <x:v>Local broker contact</x:v>
      </x:c>
      <x:c r="G24" s="33" t="str">
        <x:v>https://omaha.fcbb.com/contact-us</x:v>
      </x:c>
      <x:c r="H24" s="33" t="str">
        <x:v>https://omaha.fcbb.com/meet-our-team</x:v>
      </x:c>
      <x:c r="I24" s="35" t="n">
        <x:v>46268</x:v>
      </x:c>
    </x:row>
    <x:row r="25" ht="62" customHeight="1">
      <x:c r="A25" s="48" t="str">
        <x:v>First Choice Business Brokers Nashville</x:v>
      </x:c>
      <x:c r="B25" s="49" t="str">
        <x:v>Business brokerage</x:v>
      </x:c>
      <x:c r="C25" s="33" t="str">
        <x:v>2550 Meridian Blvd, Franklin, TN 37067</x:v>
      </x:c>
      <x:c r="D25" s="33" t="str">
        <x:v>(615) 288-6886</x:v>
      </x:c>
      <x:c r="E25" s="33" t="str">
        <x:v>russell.carriere@fcbb.com</x:v>
      </x:c>
      <x:c r="F25" s="33" t="str">
        <x:v>Local broker contact</x:v>
      </x:c>
      <x:c r="G25" s="33" t="str">
        <x:v>https://nashville.fcbb.com/contact-us</x:v>
      </x:c>
      <x:c r="H25" s="33" t="str"/>
      <x:c r="I25" s="35" t="n">
        <x:v>46268</x:v>
      </x:c>
    </x:row>
    <x:row r="26" ht="62" customHeight="1">
      <x:c r="A26" s="48" t="str">
        <x:v>Darn Tough Vermont</x:v>
      </x:c>
      <x:c r="B26" s="49" t="str">
        <x:v>Outdoor apparel and equipment</x:v>
      </x:c>
      <x:c r="C26" s="33" t="str">
        <x:v>364 Whetstone Dr, Northfield, VT 05663</x:v>
      </x:c>
      <x:c r="D26" s="33" t="str">
        <x:v>(877) 327-6883</x:v>
      </x:c>
      <x:c r="E26" s="33" t="str">
        <x:v>support@darntough.com</x:v>
      </x:c>
      <x:c r="F26" s="33" t="str">
        <x:v>Customer support</x:v>
      </x:c>
      <x:c r="G26" s="33" t="str">
        <x:v>https://darntough.com/pages/contact-us</x:v>
      </x:c>
      <x:c r="H26" s="33" t="str">
        <x:v>https://darntough.com/pages/terms-of-use</x:v>
      </x:c>
      <x:c r="I26" s="35" t="n">
        <x:v>46268</x:v>
      </x:c>
    </x:row>
    <x:row r="27" ht="62" customHeight="1">
      <x:c r="A27" s="48" t="str">
        <x:v>Carhartt</x:v>
      </x:c>
      <x:c r="B27" s="49" t="str">
        <x:v>Outdoor apparel and equipment</x:v>
      </x:c>
      <x:c r="C27" s="33" t="str">
        <x:v>5750 Mercury Dr, Dearborn, MI 48126</x:v>
      </x:c>
      <x:c r="D27" s="33" t="str">
        <x:v>(800) 833-3118</x:v>
      </x:c>
      <x:c r="E27" s="33" t="str">
        <x:v>Just_Ask_Us@Carhartt.com</x:v>
      </x:c>
      <x:c r="F27" s="33" t="str">
        <x:v>Customer service</x:v>
      </x:c>
      <x:c r="G27" s="33" t="str">
        <x:v>https://www.carhartt.com/privacy-policy</x:v>
      </x:c>
      <x:c r="H27" s="33" t="str">
        <x:v>https://www.carhartt.com/shipping-and-returns</x:v>
      </x:c>
      <x:c r="I27" s="35" t="n">
        <x:v>46268</x:v>
      </x:c>
    </x:row>
    <x:row r="28" ht="62" customHeight="1">
      <x:c r="A28" s="48" t="str">
        <x:v>Osprey Packs</x:v>
      </x:c>
      <x:c r="B28" s="49" t="str">
        <x:v>Outdoor apparel and equipment</x:v>
      </x:c>
      <x:c r="C28" s="33" t="str">
        <x:v>115 Progress Circle, Cortez, CO 81321</x:v>
      </x:c>
      <x:c r="D28" s="33" t="str">
        <x:v>(866) 284-7830</x:v>
      </x:c>
      <x:c r="E28" s="33" t="str">
        <x:v>customer.service@osprey.com</x:v>
      </x:c>
      <x:c r="F28" s="33" t="str">
        <x:v>Customer service</x:v>
      </x:c>
      <x:c r="G28" s="33" t="str">
        <x:v>https://www.osprey.com/cl/es/customer-support/terms-of-use</x:v>
      </x:c>
      <x:c r="H28" s="33" t="str">
        <x:v>https://www.osprey.com/gb/cookie-policy</x:v>
      </x:c>
      <x:c r="I28" s="35" t="n">
        <x:v>46268</x:v>
      </x:c>
    </x:row>
  </x:sheetData>
  <x:mergeCells>
    <x:mergeCell ref="A1:I1"/>
    <x:mergeCell ref="A2:I2"/>
  </x:mergeCells>
  <x:pageMargins left="0.7" right="0.7" top="0.75" bottom="0.75" header="0.3" footer="0.3"/>
  <x:tableParts count="1">
    <x:tablePart xmlns:r="http://schemas.openxmlformats.org/officeDocument/2006/relationships" r:id="Rd0d95b46652b4c36"/>
  </x:tableParts>
</x:worksheet>
</file>

<file path=xl/worksheets/sheet4.xml><?xml version="1.0" encoding="utf-8"?>
<x:worksheet xmlns:x="http://schemas.openxmlformats.org/spreadsheetml/2006/main">
  <x:sheetFormatPr defaultRowHeight="15"/>
  <x:cols>
    <x:col min="1" max="1" width="16" hidden="0" customWidth="1"/>
    <x:col min="2" max="2" width="25" hidden="0" customWidth="1"/>
    <x:col min="3" max="3" width="42" hidden="0" customWidth="1"/>
    <x:col min="4" max="4" width="21" hidden="0" customWidth="1"/>
    <x:col min="5" max="5" width="33" hidden="0" customWidth="1"/>
    <x:col min="6" max="6" width="13" hidden="0" customWidth="1"/>
    <x:col min="7" max="7" width="33" hidden="0" customWidth="1"/>
  </x:cols>
  <x:sheetData>
    <x:row r="1" ht="30" customHeight="1">
      <x:c r="A1" s="29" t="str">
        <x:v>Fictional Customer Test Data</x:v>
      </x:c>
      <x:c r="B1" s="29"/>
      <x:c r="C1" s="29"/>
      <x:c r="D1" s="29"/>
      <x:c r="E1" s="29"/>
      <x:c r="F1" s="29"/>
      <x:c r="G1" s="29"/>
    </x:row>
    <x:row r="2" ht="36" customHeight="1">
      <x:c r="A2" s="30" t="str">
        <x:v>All names, addresses, phone numbers, and emails on this sheet are synthetic. Phone numbers use the North American 555-0100–0199 range reserved for fictional use; emails use example.com.</x:v>
      </x:c>
      <x:c r="B2" s="30"/>
      <x:c r="C2" s="30"/>
      <x:c r="D2" s="30"/>
      <x:c r="E2" s="30"/>
      <x:c r="F2" s="30"/>
      <x:c r="G2" s="30"/>
    </x:row>
    <x:row r="3">
      <x:c r="A3" s="31"/>
      <x:c r="B3" s="31"/>
      <x:c r="C3" s="31"/>
      <x:c r="D3" s="31"/>
      <x:c r="E3" s="31"/>
      <x:c r="F3" s="31"/>
      <x:c r="G3" s="31"/>
    </x:row>
    <x:row r="4" ht="34" customHeight="1">
      <x:c r="A4" s="36" t="str">
        <x:v>Customer ID</x:v>
      </x:c>
      <x:c r="B4" s="36" t="str">
        <x:v>Customer Name</x:v>
      </x:c>
      <x:c r="C4" s="36" t="str">
        <x:v>Customer Address</x:v>
      </x:c>
      <x:c r="D4" s="36" t="str">
        <x:v>Customer Phone</x:v>
      </x:c>
      <x:c r="E4" s="36" t="str">
        <x:v>Customer Email</x:v>
      </x:c>
      <x:c r="F4" s="36" t="str">
        <x:v>Fictional?</x:v>
      </x:c>
      <x:c r="G4" s="36" t="str">
        <x:v>Safety Note</x:v>
      </x:c>
    </x:row>
    <x:row r="5" ht="42" customHeight="1">
      <x:c r="A5" s="48" t="str">
        <x:v>CUST-001</x:v>
      </x:c>
      <x:c r="B5" s="33" t="str">
        <x:v>Avery Testwell</x:v>
      </x:c>
      <x:c r="C5" s="33" t="str">
        <x:v>101 Test Case Way, Sacramento, CA 95814</x:v>
      </x:c>
      <x:c r="D5" s="33" t="str">
        <x:v>(916) 555-0101</x:v>
      </x:c>
      <x:c r="E5" s="33" t="str">
        <x:v>avery.testwell@example.com</x:v>
      </x:c>
      <x:c r="F5" s="50" t="str">
        <x:v>YES</x:v>
      </x:c>
      <x:c r="G5" s="33" t="str">
        <x:v>Reserved fictional 555-01xx number</x:v>
      </x:c>
    </x:row>
    <x:row r="6" ht="42" customHeight="1">
      <x:c r="A6" s="48" t="str">
        <x:v>CUST-002</x:v>
      </x:c>
      <x:c r="B6" s="33" t="str">
        <x:v>Jordan Sample</x:v>
      </x:c>
      <x:c r="C6" s="33" t="str">
        <x:v>202 Sample Data Ave, Austin, TX 78701</x:v>
      </x:c>
      <x:c r="D6" s="33" t="str">
        <x:v>(512) 555-0102</x:v>
      </x:c>
      <x:c r="E6" s="33" t="str">
        <x:v>jordan.sample@example.com</x:v>
      </x:c>
      <x:c r="F6" s="50" t="str">
        <x:v>YES</x:v>
      </x:c>
      <x:c r="G6" s="33" t="str">
        <x:v>Reserved fictional 555-01xx number</x:v>
      </x:c>
    </x:row>
    <x:row r="7" ht="42" customHeight="1">
      <x:c r="A7" s="48" t="str">
        <x:v>CUST-003</x:v>
      </x:c>
      <x:c r="B7" s="33" t="str">
        <x:v>Riley Mock</x:v>
      </x:c>
      <x:c r="C7" s="33" t="str">
        <x:v>303 Demo Record Rd, Miami, FL 33130</x:v>
      </x:c>
      <x:c r="D7" s="33" t="str">
        <x:v>(305) 555-0103</x:v>
      </x:c>
      <x:c r="E7" s="33" t="str">
        <x:v>riley.mock@example.com</x:v>
      </x:c>
      <x:c r="F7" s="50" t="str">
        <x:v>YES</x:v>
      </x:c>
      <x:c r="G7" s="33" t="str">
        <x:v>Reserved fictional 555-01xx number</x:v>
      </x:c>
    </x:row>
    <x:row r="8" ht="42" customHeight="1">
      <x:c r="A8" s="48" t="str">
        <x:v>CUST-004</x:v>
      </x:c>
      <x:c r="B8" s="33" t="str">
        <x:v>Casey Example</x:v>
      </x:c>
      <x:c r="C8" s="33" t="str">
        <x:v>404 Sandbox St, Las Vegas, NV 89101</x:v>
      </x:c>
      <x:c r="D8" s="33" t="str">
        <x:v>(702) 555-0104</x:v>
      </x:c>
      <x:c r="E8" s="33" t="str">
        <x:v>casey.example@example.com</x:v>
      </x:c>
      <x:c r="F8" s="50" t="str">
        <x:v>YES</x:v>
      </x:c>
      <x:c r="G8" s="33" t="str">
        <x:v>Reserved fictional 555-01xx number</x:v>
      </x:c>
    </x:row>
    <x:row r="9" ht="42" customHeight="1">
      <x:c r="A9" s="48" t="str">
        <x:v>CUST-005</x:v>
      </x:c>
      <x:c r="B9" s="33" t="str">
        <x:v>Morgan Sandbox</x:v>
      </x:c>
      <x:c r="C9" s="33" t="str">
        <x:v>505 Placeholder Pl, Portland, OR 97205</x:v>
      </x:c>
      <x:c r="D9" s="33" t="str">
        <x:v>(503) 555-0105</x:v>
      </x:c>
      <x:c r="E9" s="33" t="str">
        <x:v>morgan.sandbox@example.com</x:v>
      </x:c>
      <x:c r="F9" s="50" t="str">
        <x:v>YES</x:v>
      </x:c>
      <x:c r="G9" s="33" t="str">
        <x:v>Reserved fictional 555-01xx number</x:v>
      </x:c>
    </x:row>
    <x:row r="10" ht="42" customHeight="1">
      <x:c r="A10" s="48" t="str">
        <x:v>CUST-006</x:v>
      </x:c>
      <x:c r="B10" s="33" t="str">
        <x:v>Taylor Placeholder</x:v>
      </x:c>
      <x:c r="C10" s="33" t="str">
        <x:v>606 Mockup Blvd, New York, NY 10001</x:v>
      </x:c>
      <x:c r="D10" s="33" t="str">
        <x:v>(212) 555-0106</x:v>
      </x:c>
      <x:c r="E10" s="33" t="str">
        <x:v>taylor.placeholder@example.com</x:v>
      </x:c>
      <x:c r="F10" s="50" t="str">
        <x:v>YES</x:v>
      </x:c>
      <x:c r="G10" s="33" t="str">
        <x:v>Reserved fictional 555-01xx number</x:v>
      </x:c>
    </x:row>
    <x:row r="11" ht="42" customHeight="1">
      <x:c r="A11" s="48" t="str">
        <x:v>CUST-007</x:v>
      </x:c>
      <x:c r="B11" s="33" t="str">
        <x:v>Cameron Demo</x:v>
      </x:c>
      <x:c r="C11" s="33" t="str">
        <x:v>707 Fictional Ln, Chicago, IL 60601</x:v>
      </x:c>
      <x:c r="D11" s="33" t="str">
        <x:v>(312) 555-0107</x:v>
      </x:c>
      <x:c r="E11" s="33" t="str">
        <x:v>cameron.demo@example.com</x:v>
      </x:c>
      <x:c r="F11" s="50" t="str">
        <x:v>YES</x:v>
      </x:c>
      <x:c r="G11" s="33" t="str">
        <x:v>Reserved fictional 555-01xx number</x:v>
      </x:c>
    </x:row>
    <x:row r="12" ht="42" customHeight="1">
      <x:c r="A12" s="48" t="str">
        <x:v>CUST-008</x:v>
      </x:c>
      <x:c r="B12" s="33" t="str">
        <x:v>Quinn Testcase</x:v>
      </x:c>
      <x:c r="C12" s="33" t="str">
        <x:v>808 Trial Run Ct, Los Angeles, CA 90012</x:v>
      </x:c>
      <x:c r="D12" s="33" t="str">
        <x:v>(213) 555-0108</x:v>
      </x:c>
      <x:c r="E12" s="33" t="str">
        <x:v>quinn.testcase@example.com</x:v>
      </x:c>
      <x:c r="F12" s="50" t="str">
        <x:v>YES</x:v>
      </x:c>
      <x:c r="G12" s="33" t="str">
        <x:v>Reserved fictional 555-01xx number</x:v>
      </x:c>
    </x:row>
    <x:row r="13" ht="42" customHeight="1">
      <x:c r="A13" s="48" t="str">
        <x:v>CUST-009</x:v>
      </x:c>
      <x:c r="B13" s="33" t="str">
        <x:v>Rowan Fiction</x:v>
      </x:c>
      <x:c r="C13" s="33" t="str">
        <x:v>909 Quality Check Dr, Boston, MA 02108</x:v>
      </x:c>
      <x:c r="D13" s="33" t="str">
        <x:v>(617) 555-0109</x:v>
      </x:c>
      <x:c r="E13" s="33" t="str">
        <x:v>rowan.fiction@example.com</x:v>
      </x:c>
      <x:c r="F13" s="50" t="str">
        <x:v>YES</x:v>
      </x:c>
      <x:c r="G13" s="33" t="str">
        <x:v>Reserved fictional 555-01xx number</x:v>
      </x:c>
    </x:row>
    <x:row r="14" ht="42" customHeight="1">
      <x:c r="A14" s="48" t="str">
        <x:v>CUST-010</x:v>
      </x:c>
      <x:c r="B14" s="33" t="str">
        <x:v>Parker Prototype</x:v>
      </x:c>
      <x:c r="C14" s="33" t="str">
        <x:v>110 Prototype Pkwy, Denver, CO 80202</x:v>
      </x:c>
      <x:c r="D14" s="33" t="str">
        <x:v>(303) 555-0110</x:v>
      </x:c>
      <x:c r="E14" s="33" t="str">
        <x:v>parker.prototype@example.com</x:v>
      </x:c>
      <x:c r="F14" s="50" t="str">
        <x:v>YES</x:v>
      </x:c>
      <x:c r="G14" s="33" t="str">
        <x:v>Reserved fictional 555-01xx number</x:v>
      </x:c>
    </x:row>
    <x:row r="15" ht="42" customHeight="1">
      <x:c r="A15" s="48" t="str">
        <x:v>CUST-011</x:v>
      </x:c>
      <x:c r="B15" s="33" t="str">
        <x:v>Sage Trial</x:v>
      </x:c>
      <x:c r="C15" s="33" t="str">
        <x:v>220 Scenario St, Seattle, WA 98101</x:v>
      </x:c>
      <x:c r="D15" s="33" t="str">
        <x:v>(206) 555-0111</x:v>
      </x:c>
      <x:c r="E15" s="33" t="str">
        <x:v>sage.trial@example.com</x:v>
      </x:c>
      <x:c r="F15" s="50" t="str">
        <x:v>YES</x:v>
      </x:c>
      <x:c r="G15" s="33" t="str">
        <x:v>Reserved fictional 555-01xx number</x:v>
      </x:c>
    </x:row>
    <x:row r="16" ht="42" customHeight="1">
      <x:c r="A16" s="48" t="str">
        <x:v>CUST-012</x:v>
      </x:c>
      <x:c r="B16" s="33" t="str">
        <x:v>Ellis Dummy</x:v>
      </x:c>
      <x:c r="C16" s="33" t="str">
        <x:v>330 Example Entry Rd, Hartford, CT 06103</x:v>
      </x:c>
      <x:c r="D16" s="33" t="str">
        <x:v>(860) 555-0112</x:v>
      </x:c>
      <x:c r="E16" s="33" t="str">
        <x:v>ellis.dummy@example.com</x:v>
      </x:c>
      <x:c r="F16" s="50" t="str">
        <x:v>YES</x:v>
      </x:c>
      <x:c r="G16" s="33" t="str">
        <x:v>Reserved fictional 555-01xx number</x:v>
      </x:c>
    </x:row>
    <x:row r="17" ht="42" customHeight="1">
      <x:c r="A17" s="48" t="str">
        <x:v>CUST-013</x:v>
      </x:c>
      <x:c r="B17" s="33" t="str">
        <x:v>Finley Specimen</x:v>
      </x:c>
      <x:c r="C17" s="33" t="str">
        <x:v>440 Test Harness Ave, Augusta, GA 30901</x:v>
      </x:c>
      <x:c r="D17" s="33" t="str">
        <x:v>(706) 555-0113</x:v>
      </x:c>
      <x:c r="E17" s="33" t="str">
        <x:v>finley.specimen@example.com</x:v>
      </x:c>
      <x:c r="F17" s="50" t="str">
        <x:v>YES</x:v>
      </x:c>
      <x:c r="G17" s="33" t="str">
        <x:v>Reserved fictional 555-01xx number</x:v>
      </x:c>
    </x:row>
    <x:row r="18" ht="42" customHeight="1">
      <x:c r="A18" s="48" t="str">
        <x:v>CUST-014</x:v>
      </x:c>
      <x:c r="B18" s="33" t="str">
        <x:v>Dakota Sim</x:v>
      </x:c>
      <x:c r="C18" s="33" t="str">
        <x:v>550 Demo Only Way, Raleigh, NC 27601</x:v>
      </x:c>
      <x:c r="D18" s="33" t="str">
        <x:v>(919) 555-0114</x:v>
      </x:c>
      <x:c r="E18" s="33" t="str">
        <x:v>dakota.sim@example.com</x:v>
      </x:c>
      <x:c r="F18" s="50" t="str">
        <x:v>YES</x:v>
      </x:c>
      <x:c r="G18" s="33" t="str">
        <x:v>Reserved fictional 555-01xx number</x:v>
      </x:c>
    </x:row>
    <x:row r="19" ht="42" customHeight="1">
      <x:c r="A19" s="48" t="str">
        <x:v>CUST-015</x:v>
      </x:c>
      <x:c r="B19" s="33" t="str">
        <x:v>Reese Staging</x:v>
      </x:c>
      <x:c r="C19" s="33" t="str">
        <x:v>660 Staging Blvd, Dallas, TX 75201</x:v>
      </x:c>
      <x:c r="D19" s="33" t="str">
        <x:v>(214) 555-0115</x:v>
      </x:c>
      <x:c r="E19" s="33" t="str">
        <x:v>reese.staging@example.com</x:v>
      </x:c>
      <x:c r="F19" s="50" t="str">
        <x:v>YES</x:v>
      </x:c>
      <x:c r="G19" s="33" t="str">
        <x:v>Reserved fictional 555-01xx number</x:v>
      </x:c>
    </x:row>
    <x:row r="20" ht="42" customHeight="1">
      <x:c r="A20" s="48" t="str">
        <x:v>CUST-016</x:v>
      </x:c>
      <x:c r="B20" s="33" t="str">
        <x:v>Blair Dataset</x:v>
      </x:c>
      <x:c r="C20" s="33" t="str">
        <x:v>770 Sample Claim Ct, Boca Raton, FL 33432</x:v>
      </x:c>
      <x:c r="D20" s="33" t="str">
        <x:v>(561) 555-0116</x:v>
      </x:c>
      <x:c r="E20" s="33" t="str">
        <x:v>blair.dataset@example.com</x:v>
      </x:c>
      <x:c r="F20" s="50" t="str">
        <x:v>YES</x:v>
      </x:c>
      <x:c r="G20" s="33" t="str">
        <x:v>Reserved fictional 555-01xx number</x:v>
      </x:c>
    </x:row>
    <x:row r="21" ht="42" customHeight="1">
      <x:c r="A21" s="48" t="str">
        <x:v>CUST-017</x:v>
      </x:c>
      <x:c r="B21" s="33" t="str">
        <x:v>Emerson QA</x:v>
      </x:c>
      <x:c r="C21" s="33" t="str">
        <x:v>880 Placeholder Rd, Indianapolis, IN 46204</x:v>
      </x:c>
      <x:c r="D21" s="33" t="str">
        <x:v>(317) 555-0117</x:v>
      </x:c>
      <x:c r="E21" s="33" t="str">
        <x:v>emerson.qa@example.com</x:v>
      </x:c>
      <x:c r="F21" s="50" t="str">
        <x:v>YES</x:v>
      </x:c>
      <x:c r="G21" s="33" t="str">
        <x:v>Reserved fictional 555-01xx number</x:v>
      </x:c>
    </x:row>
    <x:row r="22" ht="42" customHeight="1">
      <x:c r="A22" s="48" t="str">
        <x:v>CUST-018</x:v>
      </x:c>
      <x:c r="B22" s="33" t="str">
        <x:v>Hayden Fixture</x:v>
      </x:c>
      <x:c r="C22" s="33" t="str">
        <x:v>990 Fiction Park Ave, Philadelphia, PA 19103</x:v>
      </x:c>
      <x:c r="D22" s="33" t="str">
        <x:v>(215) 555-0118</x:v>
      </x:c>
      <x:c r="E22" s="33" t="str">
        <x:v>hayden.fixture@example.com</x:v>
      </x:c>
      <x:c r="F22" s="50" t="str">
        <x:v>YES</x:v>
      </x:c>
      <x:c r="G22" s="33" t="str">
        <x:v>Reserved fictional 555-01xx number</x:v>
      </x:c>
    </x:row>
    <x:row r="23" ht="42" customHeight="1">
      <x:c r="A23" s="48" t="str">
        <x:v>CUST-019</x:v>
      </x:c>
      <x:c r="B23" s="33" t="str">
        <x:v>Marley Scenario</x:v>
      </x:c>
      <x:c r="C23" s="33" t="str">
        <x:v>111 Test Listing Ln, Atlanta, GA 30303</x:v>
      </x:c>
      <x:c r="D23" s="33" t="str">
        <x:v>(404) 555-0119</x:v>
      </x:c>
      <x:c r="E23" s="33" t="str">
        <x:v>marley.scenario@example.com</x:v>
      </x:c>
      <x:c r="F23" s="50" t="str">
        <x:v>YES</x:v>
      </x:c>
      <x:c r="G23" s="33" t="str">
        <x:v>Reserved fictional 555-01xx number</x:v>
      </x:c>
    </x:row>
    <x:row r="24" ht="42" customHeight="1">
      <x:c r="A24" s="48" t="str">
        <x:v>CUST-020</x:v>
      </x:c>
      <x:c r="B24" s="33" t="str">
        <x:v>Skyler Mockup</x:v>
      </x:c>
      <x:c r="C24" s="33" t="str">
        <x:v>222 Mock Broker Way, Omaha, NE 68102</x:v>
      </x:c>
      <x:c r="D24" s="33" t="str">
        <x:v>(402) 555-0120</x:v>
      </x:c>
      <x:c r="E24" s="33" t="str">
        <x:v>skyler.mockup@example.com</x:v>
      </x:c>
      <x:c r="F24" s="50" t="str">
        <x:v>YES</x:v>
      </x:c>
      <x:c r="G24" s="33" t="str">
        <x:v>Reserved fictional 555-01xx number</x:v>
      </x:c>
    </x:row>
    <x:row r="25" ht="42" customHeight="1">
      <x:c r="A25" s="48" t="str">
        <x:v>CUST-021</x:v>
      </x:c>
      <x:c r="B25" s="33" t="str">
        <x:v>Jamie Preview</x:v>
      </x:c>
      <x:c r="C25" s="33" t="str">
        <x:v>333 Demo Deal St, Nashville, TN 37201</x:v>
      </x:c>
      <x:c r="D25" s="33" t="str">
        <x:v>(615) 555-0121</x:v>
      </x:c>
      <x:c r="E25" s="33" t="str">
        <x:v>jamie.preview@example.com</x:v>
      </x:c>
      <x:c r="F25" s="50" t="str">
        <x:v>YES</x:v>
      </x:c>
      <x:c r="G25" s="33" t="str">
        <x:v>Reserved fictional 555-01xx number</x:v>
      </x:c>
    </x:row>
    <x:row r="26" ht="42" customHeight="1">
      <x:c r="A26" s="48" t="str">
        <x:v>CUST-022</x:v>
      </x:c>
      <x:c r="B26" s="33" t="str">
        <x:v>Devon Seed</x:v>
      </x:c>
      <x:c r="C26" s="33" t="str">
        <x:v>444 Warranty Test Rd, Burlington, VT 05401</x:v>
      </x:c>
      <x:c r="D26" s="33" t="str">
        <x:v>(802) 555-0122</x:v>
      </x:c>
      <x:c r="E26" s="33" t="str">
        <x:v>devon.seed@example.com</x:v>
      </x:c>
      <x:c r="F26" s="50" t="str">
        <x:v>YES</x:v>
      </x:c>
      <x:c r="G26" s="33" t="str">
        <x:v>Reserved fictional 555-01xx number</x:v>
      </x:c>
    </x:row>
    <x:row r="27" ht="42" customHeight="1">
      <x:c r="A27" s="48" t="str">
        <x:v>CUST-023</x:v>
      </x:c>
      <x:c r="B27" s="33" t="str">
        <x:v>Kendall Trial</x:v>
      </x:c>
      <x:c r="C27" s="33" t="str">
        <x:v>555 Sample Jacket Ave, Detroit, MI 48226</x:v>
      </x:c>
      <x:c r="D27" s="33" t="str">
        <x:v>(313) 555-0123</x:v>
      </x:c>
      <x:c r="E27" s="33" t="str">
        <x:v>kendall.trial@example.com</x:v>
      </x:c>
      <x:c r="F27" s="50" t="str">
        <x:v>YES</x:v>
      </x:c>
      <x:c r="G27" s="33" t="str">
        <x:v>Reserved fictional 555-01xx number</x:v>
      </x:c>
    </x:row>
    <x:row r="28" ht="42" customHeight="1">
      <x:c r="A28" s="48" t="str">
        <x:v>CUST-024</x:v>
      </x:c>
      <x:c r="B28" s="33" t="str">
        <x:v>Robin Example</x:v>
      </x:c>
      <x:c r="C28" s="33" t="str">
        <x:v>666 Trail Pack Pl, Denver, CO 80202</x:v>
      </x:c>
      <x:c r="D28" s="33" t="str">
        <x:v>(720) 555-0124</x:v>
      </x:c>
      <x:c r="E28" s="33" t="str">
        <x:v>robin.example@example.com</x:v>
      </x:c>
      <x:c r="F28" s="50" t="str">
        <x:v>YES</x:v>
      </x:c>
      <x:c r="G28" s="33" t="str">
        <x:v>Reserved fictional 555-01xx number</x:v>
      </x:c>
    </x:row>
  </x:sheetData>
  <x:mergeCells>
    <x:mergeCell ref="A1:G1"/>
    <x:mergeCell ref="A2:G2"/>
  </x:mergeCells>
  <x:dataValidations count="1">
    <x:dataValidation type="list" sqref="F5:F104">
      <x:formula1>"YES"</x:formula1>
    </x:dataValidation>
  </x:dataValidations>
  <x:pageMargins left="0.7" right="0.7" top="0.75" bottom="0.75" header="0.3" footer="0.3"/>
  <x:tableParts count="1">
    <x:tablePart xmlns:r="http://schemas.openxmlformats.org/officeDocument/2006/relationships" r:id="R8910aa80cdb74435"/>
  </x:tableParts>
</x:worksheet>
</file>